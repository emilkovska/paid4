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liveeur-my.sharepoint.com/personal/87375emi_eur_nl/Documents/Documents/PhD/PAID/paid4 git/paid4/data-raw/"/>
    </mc:Choice>
  </mc:AlternateContent>
  <xr:revisionPtr revIDLastSave="421" documentId="13_ncr:1_{3B1B3E56-AB5F-6A42-A2D1-A059ACE12627}" xr6:coauthVersionLast="47" xr6:coauthVersionMax="47" xr10:uidLastSave="{2CECD98B-60B7-453C-8805-FA2B93EFF517}"/>
  <bookViews>
    <workbookView xWindow="-120" yWindow="-120" windowWidth="29040" windowHeight="15720" activeTab="2" xr2:uid="{00000000-000D-0000-FFFF-FFFF00000000}"/>
  </bookViews>
  <sheets>
    <sheet name="PAID" sheetId="6" r:id="rId1"/>
    <sheet name="Полуфабрикат" sheetId="5" r:id="rId2"/>
    <sheet name="Final" sheetId="1" r:id="rId3"/>
    <sheet name="diag" sheetId="2" r:id="rId4"/>
    <sheet name="sector" sheetId="3" r:id="rId5"/>
  </sheets>
  <definedNames>
    <definedName name="_Toc92795621" localSheetId="3">diag!$A$1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W4" i="5" l="1"/>
  <c r="X4" i="5"/>
  <c r="Y4" i="5"/>
  <c r="Z4" i="5"/>
  <c r="W5" i="5"/>
  <c r="X5" i="5"/>
  <c r="Y5" i="5"/>
  <c r="V5" i="5" s="1"/>
  <c r="Z5" i="5"/>
  <c r="W6" i="5"/>
  <c r="X6" i="5"/>
  <c r="Y6" i="5"/>
  <c r="Z6" i="5"/>
  <c r="W7" i="5"/>
  <c r="X7" i="5"/>
  <c r="Y7" i="5"/>
  <c r="V7" i="5" s="1"/>
  <c r="Z7" i="5"/>
  <c r="W8" i="5"/>
  <c r="X8" i="5"/>
  <c r="Y8" i="5"/>
  <c r="Z8" i="5"/>
  <c r="W9" i="5"/>
  <c r="X9" i="5"/>
  <c r="Y9" i="5"/>
  <c r="Z9" i="5"/>
  <c r="V9" i="5" s="1"/>
  <c r="W10" i="5"/>
  <c r="X10" i="5"/>
  <c r="Y10" i="5"/>
  <c r="Z10" i="5"/>
  <c r="W11" i="5"/>
  <c r="X11" i="5"/>
  <c r="Y11" i="5"/>
  <c r="V11" i="5" s="1"/>
  <c r="Z11" i="5"/>
  <c r="W12" i="5"/>
  <c r="X12" i="5"/>
  <c r="Y12" i="5"/>
  <c r="Z12" i="5"/>
  <c r="W13" i="5"/>
  <c r="X13" i="5"/>
  <c r="Y13" i="5"/>
  <c r="V13" i="5" s="1"/>
  <c r="Z13" i="5"/>
  <c r="W14" i="5"/>
  <c r="X14" i="5"/>
  <c r="Y14" i="5"/>
  <c r="Z14" i="5"/>
  <c r="W15" i="5"/>
  <c r="X15" i="5"/>
  <c r="Y15" i="5"/>
  <c r="V15" i="5" s="1"/>
  <c r="Z15" i="5"/>
  <c r="W16" i="5"/>
  <c r="X16" i="5"/>
  <c r="Y16" i="5"/>
  <c r="Z16" i="5"/>
  <c r="W17" i="5"/>
  <c r="X17" i="5"/>
  <c r="Y17" i="5"/>
  <c r="Z17" i="5"/>
  <c r="V17" i="5" s="1"/>
  <c r="W18" i="5"/>
  <c r="X18" i="5"/>
  <c r="Y18" i="5"/>
  <c r="Z18" i="5"/>
  <c r="W19" i="5"/>
  <c r="X19" i="5"/>
  <c r="Y19" i="5"/>
  <c r="V19" i="5" s="1"/>
  <c r="Z19" i="5"/>
  <c r="W20" i="5"/>
  <c r="X20" i="5"/>
  <c r="Y20" i="5"/>
  <c r="Z20" i="5"/>
  <c r="W21" i="5"/>
  <c r="X21" i="5"/>
  <c r="Y21" i="5"/>
  <c r="V21" i="5" s="1"/>
  <c r="Z21" i="5"/>
  <c r="W22" i="5"/>
  <c r="X22" i="5"/>
  <c r="Y22" i="5"/>
  <c r="Z22" i="5"/>
  <c r="W23" i="5"/>
  <c r="X23" i="5"/>
  <c r="Y23" i="5"/>
  <c r="V23" i="5" s="1"/>
  <c r="Z23" i="5"/>
  <c r="W24" i="5"/>
  <c r="X24" i="5"/>
  <c r="Y24" i="5"/>
  <c r="Z24" i="5"/>
  <c r="W25" i="5"/>
  <c r="X25" i="5"/>
  <c r="Y25" i="5"/>
  <c r="Z25" i="5"/>
  <c r="V25" i="5" s="1"/>
  <c r="W26" i="5"/>
  <c r="X26" i="5"/>
  <c r="Y26" i="5"/>
  <c r="Z26" i="5"/>
  <c r="W27" i="5"/>
  <c r="X27" i="5"/>
  <c r="Y27" i="5"/>
  <c r="V27" i="5" s="1"/>
  <c r="Z27" i="5"/>
  <c r="W28" i="5"/>
  <c r="X28" i="5"/>
  <c r="Y28" i="5"/>
  <c r="Z28" i="5"/>
  <c r="W29" i="5"/>
  <c r="X29" i="5"/>
  <c r="Y29" i="5"/>
  <c r="V29" i="5" s="1"/>
  <c r="Z29" i="5"/>
  <c r="W30" i="5"/>
  <c r="X30" i="5"/>
  <c r="Y30" i="5"/>
  <c r="Z30" i="5"/>
  <c r="W31" i="5"/>
  <c r="X31" i="5"/>
  <c r="Y31" i="5"/>
  <c r="V31" i="5" s="1"/>
  <c r="Z31" i="5"/>
  <c r="W32" i="5"/>
  <c r="X32" i="5"/>
  <c r="Y32" i="5"/>
  <c r="Z32" i="5"/>
  <c r="W33" i="5"/>
  <c r="X33" i="5"/>
  <c r="Y33" i="5"/>
  <c r="Z33" i="5"/>
  <c r="V33" i="5" s="1"/>
  <c r="W34" i="5"/>
  <c r="X34" i="5"/>
  <c r="Y34" i="5"/>
  <c r="Z34" i="5"/>
  <c r="W35" i="5"/>
  <c r="X35" i="5"/>
  <c r="Y35" i="5"/>
  <c r="V35" i="5" s="1"/>
  <c r="Z35" i="5"/>
  <c r="W36" i="5"/>
  <c r="X36" i="5"/>
  <c r="Y36" i="5"/>
  <c r="Z36" i="5"/>
  <c r="W37" i="5"/>
  <c r="X37" i="5"/>
  <c r="Y37" i="5"/>
  <c r="V37" i="5" s="1"/>
  <c r="Z37" i="5"/>
  <c r="W38" i="5"/>
  <c r="X38" i="5"/>
  <c r="Y38" i="5"/>
  <c r="Z38" i="5"/>
  <c r="W39" i="5"/>
  <c r="X39" i="5"/>
  <c r="Y39" i="5"/>
  <c r="V39" i="5" s="1"/>
  <c r="Z39" i="5"/>
  <c r="W40" i="5"/>
  <c r="X40" i="5"/>
  <c r="Y40" i="5"/>
  <c r="Z40" i="5"/>
  <c r="W41" i="5"/>
  <c r="X41" i="5"/>
  <c r="Y41" i="5"/>
  <c r="Z41" i="5"/>
  <c r="V41" i="5" s="1"/>
  <c r="W42" i="5"/>
  <c r="X42" i="5"/>
  <c r="Y42" i="5"/>
  <c r="Z42" i="5"/>
  <c r="W43" i="5"/>
  <c r="X43" i="5"/>
  <c r="Y43" i="5"/>
  <c r="V43" i="5" s="1"/>
  <c r="Z43" i="5"/>
  <c r="W44" i="5"/>
  <c r="X44" i="5"/>
  <c r="Y44" i="5"/>
  <c r="Z44" i="5"/>
  <c r="W45" i="5"/>
  <c r="X45" i="5"/>
  <c r="Y45" i="5"/>
  <c r="V45" i="5" s="1"/>
  <c r="Z45" i="5"/>
  <c r="W46" i="5"/>
  <c r="X46" i="5"/>
  <c r="Y46" i="5"/>
  <c r="Z46" i="5"/>
  <c r="W47" i="5"/>
  <c r="X47" i="5"/>
  <c r="Y47" i="5"/>
  <c r="V47" i="5" s="1"/>
  <c r="Z47" i="5"/>
  <c r="W48" i="5"/>
  <c r="X48" i="5"/>
  <c r="Y48" i="5"/>
  <c r="Z48" i="5"/>
  <c r="W49" i="5"/>
  <c r="X49" i="5"/>
  <c r="Y49" i="5"/>
  <c r="Z49" i="5"/>
  <c r="V49" i="5" s="1"/>
  <c r="W50" i="5"/>
  <c r="X50" i="5"/>
  <c r="Y50" i="5"/>
  <c r="Z50" i="5"/>
  <c r="W51" i="5"/>
  <c r="X51" i="5"/>
  <c r="Y51" i="5"/>
  <c r="V51" i="5" s="1"/>
  <c r="Z51" i="5"/>
  <c r="W52" i="5"/>
  <c r="X52" i="5"/>
  <c r="Y52" i="5"/>
  <c r="Z52" i="5"/>
  <c r="W53" i="5"/>
  <c r="V53" i="5" s="1"/>
  <c r="X53" i="5"/>
  <c r="Y53" i="5"/>
  <c r="Z53" i="5"/>
  <c r="W54" i="5"/>
  <c r="X54" i="5"/>
  <c r="Y54" i="5"/>
  <c r="Z54" i="5"/>
  <c r="W55" i="5"/>
  <c r="V55" i="5" s="1"/>
  <c r="X55" i="5"/>
  <c r="Y55" i="5"/>
  <c r="Z55" i="5"/>
  <c r="W56" i="5"/>
  <c r="X56" i="5"/>
  <c r="Y56" i="5"/>
  <c r="Z56" i="5"/>
  <c r="W57" i="5"/>
  <c r="X57" i="5"/>
  <c r="Y57" i="5"/>
  <c r="Z57" i="5"/>
  <c r="V57" i="5" s="1"/>
  <c r="W58" i="5"/>
  <c r="X58" i="5"/>
  <c r="Y58" i="5"/>
  <c r="Z58" i="5"/>
  <c r="W59" i="5"/>
  <c r="X59" i="5"/>
  <c r="Y59" i="5"/>
  <c r="V59" i="5" s="1"/>
  <c r="Z59" i="5"/>
  <c r="X3" i="5"/>
  <c r="Y3" i="5"/>
  <c r="Z3" i="5"/>
  <c r="W3" i="5"/>
  <c r="V58" i="5"/>
  <c r="V56" i="5"/>
  <c r="V54" i="5"/>
  <c r="V52" i="5"/>
  <c r="V50" i="5"/>
  <c r="V48" i="5"/>
  <c r="V46" i="5"/>
  <c r="V44" i="5"/>
  <c r="V42" i="5"/>
  <c r="V40" i="5"/>
  <c r="V38" i="5"/>
  <c r="V36" i="5"/>
  <c r="V34" i="5"/>
  <c r="V32" i="5"/>
  <c r="V30" i="5"/>
  <c r="V28" i="5"/>
  <c r="V26" i="5"/>
  <c r="V24" i="5"/>
  <c r="V22" i="5"/>
  <c r="V20" i="5"/>
  <c r="V18" i="5"/>
  <c r="V16" i="5"/>
  <c r="V14" i="5"/>
  <c r="V12" i="5"/>
  <c r="V10" i="5"/>
  <c r="V8" i="5"/>
  <c r="V6" i="5"/>
  <c r="V4" i="5"/>
  <c r="U3" i="5"/>
  <c r="T3" i="5"/>
  <c r="S3" i="5"/>
  <c r="R3" i="5"/>
  <c r="AW59" i="1"/>
  <c r="AX59" i="1"/>
  <c r="AY59" i="1"/>
  <c r="AZ59" i="1"/>
  <c r="BA59" i="1"/>
  <c r="BB59" i="1"/>
  <c r="BC59" i="1"/>
  <c r="BD59" i="1"/>
  <c r="BE59" i="1"/>
  <c r="BG59" i="1"/>
  <c r="BH59" i="1"/>
  <c r="BI59" i="1"/>
  <c r="BJ59" i="1"/>
  <c r="BK59" i="1"/>
  <c r="BL59" i="1"/>
  <c r="BM59" i="1"/>
  <c r="BF59" i="1"/>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4" i="5"/>
  <c r="AY4" i="1"/>
  <c r="AY5" i="1"/>
  <c r="AY6" i="1"/>
  <c r="AY7" i="1"/>
  <c r="AY8" i="1"/>
  <c r="AY9" i="1"/>
  <c r="AY10" i="1"/>
  <c r="AY11" i="1"/>
  <c r="AY12" i="1"/>
  <c r="AY13" i="1"/>
  <c r="AY14" i="1"/>
  <c r="AY15" i="1"/>
  <c r="AY16" i="1"/>
  <c r="AY17" i="1"/>
  <c r="AY18" i="1"/>
  <c r="AY19" i="1"/>
  <c r="AY20" i="1"/>
  <c r="AY21" i="1"/>
  <c r="AY22" i="1"/>
  <c r="AY23" i="1"/>
  <c r="AY24" i="1"/>
  <c r="AY25" i="1"/>
  <c r="AY26" i="1"/>
  <c r="AY27" i="1"/>
  <c r="AY28" i="1"/>
  <c r="AY29" i="1"/>
  <c r="AY30" i="1"/>
  <c r="AY31" i="1"/>
  <c r="AY32" i="1"/>
  <c r="AY33" i="1"/>
  <c r="AY34" i="1"/>
  <c r="AY35" i="1"/>
  <c r="AY36" i="1"/>
  <c r="AY37" i="1"/>
  <c r="AY38" i="1"/>
  <c r="AY39" i="1"/>
  <c r="AY40" i="1"/>
  <c r="AY41" i="1"/>
  <c r="AY42" i="1"/>
  <c r="AY43" i="1"/>
  <c r="AY44" i="1"/>
  <c r="AY45" i="1"/>
  <c r="AY46" i="1"/>
  <c r="AY47" i="1"/>
  <c r="AY48" i="1"/>
  <c r="AY49" i="1"/>
  <c r="AY50" i="1"/>
  <c r="AY51" i="1"/>
  <c r="AY52" i="1"/>
  <c r="AY53" i="1"/>
  <c r="AY54" i="1"/>
  <c r="AY55" i="1"/>
  <c r="AY56" i="1"/>
  <c r="AY57" i="1"/>
  <c r="AY58" i="1"/>
  <c r="AY3" i="1"/>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4" i="5"/>
  <c r="R5" i="5"/>
  <c r="Q5" i="5" s="1"/>
  <c r="R6" i="5"/>
  <c r="Q6" i="5" s="1"/>
  <c r="R7" i="5"/>
  <c r="Q7" i="5" s="1"/>
  <c r="R8" i="5"/>
  <c r="Q8" i="5" s="1"/>
  <c r="R9" i="5"/>
  <c r="Q9" i="5" s="1"/>
  <c r="R10" i="5"/>
  <c r="Q10" i="5" s="1"/>
  <c r="R11" i="5"/>
  <c r="Q11" i="5" s="1"/>
  <c r="R12" i="5"/>
  <c r="Q12" i="5" s="1"/>
  <c r="R13" i="5"/>
  <c r="Q13" i="5" s="1"/>
  <c r="R14" i="5"/>
  <c r="Q14" i="5" s="1"/>
  <c r="R15" i="5"/>
  <c r="Q15" i="5" s="1"/>
  <c r="R16" i="5"/>
  <c r="Q16" i="5" s="1"/>
  <c r="R17" i="5"/>
  <c r="Q17" i="5" s="1"/>
  <c r="R18" i="5"/>
  <c r="Q18" i="5" s="1"/>
  <c r="R19" i="5"/>
  <c r="Q19" i="5" s="1"/>
  <c r="R20" i="5"/>
  <c r="Q20" i="5" s="1"/>
  <c r="R21" i="5"/>
  <c r="Q21" i="5" s="1"/>
  <c r="R22" i="5"/>
  <c r="Q22" i="5" s="1"/>
  <c r="R23" i="5"/>
  <c r="Q23" i="5" s="1"/>
  <c r="R24" i="5"/>
  <c r="Q24" i="5" s="1"/>
  <c r="R25" i="5"/>
  <c r="Q25" i="5" s="1"/>
  <c r="R26" i="5"/>
  <c r="Q26" i="5" s="1"/>
  <c r="R27" i="5"/>
  <c r="Q27" i="5" s="1"/>
  <c r="R28" i="5"/>
  <c r="Q28" i="5" s="1"/>
  <c r="R29" i="5"/>
  <c r="Q29" i="5" s="1"/>
  <c r="R30" i="5"/>
  <c r="Q30" i="5" s="1"/>
  <c r="R31" i="5"/>
  <c r="Q31" i="5" s="1"/>
  <c r="R32" i="5"/>
  <c r="Q32" i="5" s="1"/>
  <c r="R33" i="5"/>
  <c r="Q33" i="5" s="1"/>
  <c r="R34" i="5"/>
  <c r="Q34" i="5" s="1"/>
  <c r="R35" i="5"/>
  <c r="Q35" i="5" s="1"/>
  <c r="R36" i="5"/>
  <c r="Q36" i="5" s="1"/>
  <c r="R37" i="5"/>
  <c r="Q37" i="5" s="1"/>
  <c r="R38" i="5"/>
  <c r="Q38" i="5" s="1"/>
  <c r="R39" i="5"/>
  <c r="Q39" i="5" s="1"/>
  <c r="R40" i="5"/>
  <c r="Q40" i="5" s="1"/>
  <c r="R41" i="5"/>
  <c r="Q41" i="5" s="1"/>
  <c r="R42" i="5"/>
  <c r="Q42" i="5" s="1"/>
  <c r="R43" i="5"/>
  <c r="Q43" i="5" s="1"/>
  <c r="R44" i="5"/>
  <c r="Q44" i="5" s="1"/>
  <c r="R45" i="5"/>
  <c r="Q45" i="5" s="1"/>
  <c r="R46" i="5"/>
  <c r="Q46" i="5" s="1"/>
  <c r="R47" i="5"/>
  <c r="Q47" i="5" s="1"/>
  <c r="R48" i="5"/>
  <c r="Q48" i="5" s="1"/>
  <c r="R49" i="5"/>
  <c r="Q49" i="5" s="1"/>
  <c r="R50" i="5"/>
  <c r="Q50" i="5" s="1"/>
  <c r="R51" i="5"/>
  <c r="Q51" i="5" s="1"/>
  <c r="R52" i="5"/>
  <c r="Q52" i="5" s="1"/>
  <c r="R53" i="5"/>
  <c r="Q53" i="5" s="1"/>
  <c r="R54" i="5"/>
  <c r="Q54" i="5" s="1"/>
  <c r="R55" i="5"/>
  <c r="Q55" i="5" s="1"/>
  <c r="R56" i="5"/>
  <c r="Q56" i="5" s="1"/>
  <c r="R57" i="5"/>
  <c r="Q57" i="5" s="1"/>
  <c r="R58" i="5"/>
  <c r="Q58" i="5" s="1"/>
  <c r="R59" i="5"/>
  <c r="Q59" i="5" s="1"/>
  <c r="R4" i="5"/>
  <c r="Q4" i="5" s="1"/>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4" i="5"/>
  <c r="S61" i="1"/>
  <c r="L61" i="1"/>
  <c r="E59" i="1"/>
  <c r="E61" i="1" s="1"/>
  <c r="C3" i="5" s="1"/>
  <c r="BN4" i="1"/>
  <c r="CB4" i="1" s="1"/>
  <c r="BO4" i="1"/>
  <c r="CC4" i="1" s="1"/>
  <c r="BP4" i="1"/>
  <c r="CD4" i="1" s="1"/>
  <c r="BQ4" i="1"/>
  <c r="CE4" i="1" s="1"/>
  <c r="BR4" i="1"/>
  <c r="CF4" i="1" s="1"/>
  <c r="BS4" i="1"/>
  <c r="CG4" i="1" s="1"/>
  <c r="BT4" i="1"/>
  <c r="CH4" i="1" s="1"/>
  <c r="BU4" i="1"/>
  <c r="CI4" i="1" s="1"/>
  <c r="BV4" i="1"/>
  <c r="CJ4" i="1" s="1"/>
  <c r="BW4" i="1"/>
  <c r="CK4" i="1" s="1"/>
  <c r="BX4" i="1"/>
  <c r="CL4" i="1" s="1"/>
  <c r="BY4" i="1"/>
  <c r="CM4" i="1" s="1"/>
  <c r="BZ4" i="1"/>
  <c r="CN4" i="1" s="1"/>
  <c r="CA4" i="1"/>
  <c r="CO4" i="1" s="1"/>
  <c r="BN5" i="1"/>
  <c r="CB5" i="1" s="1"/>
  <c r="BO5" i="1"/>
  <c r="CC5" i="1" s="1"/>
  <c r="BP5" i="1"/>
  <c r="CD5" i="1" s="1"/>
  <c r="BQ5" i="1"/>
  <c r="CE5" i="1" s="1"/>
  <c r="BR5" i="1"/>
  <c r="CF5" i="1" s="1"/>
  <c r="BS5" i="1"/>
  <c r="CG5" i="1" s="1"/>
  <c r="BT5" i="1"/>
  <c r="CH5" i="1" s="1"/>
  <c r="BU5" i="1"/>
  <c r="CI5" i="1" s="1"/>
  <c r="BV5" i="1"/>
  <c r="CJ5" i="1" s="1"/>
  <c r="BW5" i="1"/>
  <c r="CK5" i="1" s="1"/>
  <c r="BX5" i="1"/>
  <c r="CL5" i="1" s="1"/>
  <c r="BY5" i="1"/>
  <c r="CM5" i="1" s="1"/>
  <c r="BZ5" i="1"/>
  <c r="CN5" i="1" s="1"/>
  <c r="CA5" i="1"/>
  <c r="CO5" i="1" s="1"/>
  <c r="BN6" i="1"/>
  <c r="CB6" i="1" s="1"/>
  <c r="BO6" i="1"/>
  <c r="CC6" i="1" s="1"/>
  <c r="BP6" i="1"/>
  <c r="CD6" i="1" s="1"/>
  <c r="BQ6" i="1"/>
  <c r="CE6" i="1" s="1"/>
  <c r="BR6" i="1"/>
  <c r="CF6" i="1" s="1"/>
  <c r="BS6" i="1"/>
  <c r="CG6" i="1" s="1"/>
  <c r="BT6" i="1"/>
  <c r="CH6" i="1" s="1"/>
  <c r="BU6" i="1"/>
  <c r="CI6" i="1" s="1"/>
  <c r="BV6" i="1"/>
  <c r="CJ6" i="1" s="1"/>
  <c r="BW6" i="1"/>
  <c r="CK6" i="1" s="1"/>
  <c r="BX6" i="1"/>
  <c r="CL6" i="1" s="1"/>
  <c r="BY6" i="1"/>
  <c r="CM6" i="1" s="1"/>
  <c r="BZ6" i="1"/>
  <c r="CN6" i="1" s="1"/>
  <c r="CA6" i="1"/>
  <c r="CO6" i="1" s="1"/>
  <c r="BN7" i="1"/>
  <c r="CB7" i="1" s="1"/>
  <c r="BO7" i="1"/>
  <c r="CC7" i="1" s="1"/>
  <c r="BP7" i="1"/>
  <c r="CD7" i="1" s="1"/>
  <c r="BQ7" i="1"/>
  <c r="CE7" i="1" s="1"/>
  <c r="BR7" i="1"/>
  <c r="CF7" i="1" s="1"/>
  <c r="BS7" i="1"/>
  <c r="CG7" i="1" s="1"/>
  <c r="BT7" i="1"/>
  <c r="CH7" i="1" s="1"/>
  <c r="BU7" i="1"/>
  <c r="CI7" i="1" s="1"/>
  <c r="BV7" i="1"/>
  <c r="CJ7" i="1" s="1"/>
  <c r="BW7" i="1"/>
  <c r="CK7" i="1" s="1"/>
  <c r="BX7" i="1"/>
  <c r="CL7" i="1" s="1"/>
  <c r="BY7" i="1"/>
  <c r="CM7" i="1" s="1"/>
  <c r="BZ7" i="1"/>
  <c r="CN7" i="1" s="1"/>
  <c r="CA7" i="1"/>
  <c r="CO7" i="1" s="1"/>
  <c r="BN8" i="1"/>
  <c r="CB8" i="1" s="1"/>
  <c r="BO8" i="1"/>
  <c r="CC8" i="1" s="1"/>
  <c r="BP8" i="1"/>
  <c r="CD8" i="1" s="1"/>
  <c r="BQ8" i="1"/>
  <c r="CE8" i="1" s="1"/>
  <c r="BR8" i="1"/>
  <c r="CF8" i="1" s="1"/>
  <c r="BS8" i="1"/>
  <c r="CG8" i="1" s="1"/>
  <c r="BT8" i="1"/>
  <c r="CH8" i="1" s="1"/>
  <c r="BU8" i="1"/>
  <c r="CI8" i="1" s="1"/>
  <c r="BV8" i="1"/>
  <c r="CJ8" i="1" s="1"/>
  <c r="BW8" i="1"/>
  <c r="CK8" i="1" s="1"/>
  <c r="BX8" i="1"/>
  <c r="CL8" i="1" s="1"/>
  <c r="BY8" i="1"/>
  <c r="CM8" i="1" s="1"/>
  <c r="BZ8" i="1"/>
  <c r="CN8" i="1" s="1"/>
  <c r="CA8" i="1"/>
  <c r="CO8" i="1" s="1"/>
  <c r="BN9" i="1"/>
  <c r="CB9" i="1" s="1"/>
  <c r="BO9" i="1"/>
  <c r="CC9" i="1" s="1"/>
  <c r="BP9" i="1"/>
  <c r="CD9" i="1" s="1"/>
  <c r="BQ9" i="1"/>
  <c r="CE9" i="1" s="1"/>
  <c r="BR9" i="1"/>
  <c r="CF9" i="1" s="1"/>
  <c r="BS9" i="1"/>
  <c r="CG9" i="1" s="1"/>
  <c r="BT9" i="1"/>
  <c r="CH9" i="1" s="1"/>
  <c r="BU9" i="1"/>
  <c r="CI9" i="1" s="1"/>
  <c r="BV9" i="1"/>
  <c r="CJ9" i="1" s="1"/>
  <c r="BW9" i="1"/>
  <c r="CK9" i="1" s="1"/>
  <c r="BX9" i="1"/>
  <c r="CL9" i="1" s="1"/>
  <c r="BY9" i="1"/>
  <c r="CM9" i="1" s="1"/>
  <c r="BZ9" i="1"/>
  <c r="CN9" i="1" s="1"/>
  <c r="CA9" i="1"/>
  <c r="CO9" i="1" s="1"/>
  <c r="BN10" i="1"/>
  <c r="CB10" i="1" s="1"/>
  <c r="BO10" i="1"/>
  <c r="CC10" i="1" s="1"/>
  <c r="BP10" i="1"/>
  <c r="CD10" i="1" s="1"/>
  <c r="BQ10" i="1"/>
  <c r="CE10" i="1" s="1"/>
  <c r="BR10" i="1"/>
  <c r="CF10" i="1" s="1"/>
  <c r="BS10" i="1"/>
  <c r="CG10" i="1" s="1"/>
  <c r="BT10" i="1"/>
  <c r="CH10" i="1" s="1"/>
  <c r="BU10" i="1"/>
  <c r="CI10" i="1" s="1"/>
  <c r="BV10" i="1"/>
  <c r="CJ10" i="1" s="1"/>
  <c r="BW10" i="1"/>
  <c r="CK10" i="1" s="1"/>
  <c r="BX10" i="1"/>
  <c r="CL10" i="1" s="1"/>
  <c r="BY10" i="1"/>
  <c r="CM10" i="1" s="1"/>
  <c r="BZ10" i="1"/>
  <c r="CN10" i="1" s="1"/>
  <c r="CA10" i="1"/>
  <c r="CO10" i="1" s="1"/>
  <c r="BN11" i="1"/>
  <c r="CB11" i="1" s="1"/>
  <c r="BO11" i="1"/>
  <c r="CC11" i="1" s="1"/>
  <c r="BP11" i="1"/>
  <c r="CD11" i="1" s="1"/>
  <c r="BQ11" i="1"/>
  <c r="CE11" i="1" s="1"/>
  <c r="BR11" i="1"/>
  <c r="CF11" i="1" s="1"/>
  <c r="BS11" i="1"/>
  <c r="CG11" i="1" s="1"/>
  <c r="BT11" i="1"/>
  <c r="CH11" i="1" s="1"/>
  <c r="BU11" i="1"/>
  <c r="CI11" i="1" s="1"/>
  <c r="BV11" i="1"/>
  <c r="CJ11" i="1" s="1"/>
  <c r="BW11" i="1"/>
  <c r="CK11" i="1" s="1"/>
  <c r="BX11" i="1"/>
  <c r="CL11" i="1" s="1"/>
  <c r="BY11" i="1"/>
  <c r="CM11" i="1" s="1"/>
  <c r="BZ11" i="1"/>
  <c r="CN11" i="1" s="1"/>
  <c r="CA11" i="1"/>
  <c r="CO11" i="1" s="1"/>
  <c r="BN12" i="1"/>
  <c r="CB12" i="1" s="1"/>
  <c r="BO12" i="1"/>
  <c r="CC12" i="1" s="1"/>
  <c r="BP12" i="1"/>
  <c r="CD12" i="1" s="1"/>
  <c r="BQ12" i="1"/>
  <c r="CE12" i="1" s="1"/>
  <c r="BR12" i="1"/>
  <c r="CF12" i="1" s="1"/>
  <c r="BS12" i="1"/>
  <c r="CG12" i="1" s="1"/>
  <c r="BT12" i="1"/>
  <c r="CH12" i="1" s="1"/>
  <c r="BU12" i="1"/>
  <c r="CI12" i="1" s="1"/>
  <c r="BV12" i="1"/>
  <c r="CJ12" i="1" s="1"/>
  <c r="BW12" i="1"/>
  <c r="CK12" i="1" s="1"/>
  <c r="BX12" i="1"/>
  <c r="CL12" i="1" s="1"/>
  <c r="BY12" i="1"/>
  <c r="CM12" i="1" s="1"/>
  <c r="BZ12" i="1"/>
  <c r="CN12" i="1" s="1"/>
  <c r="CA12" i="1"/>
  <c r="CO12" i="1" s="1"/>
  <c r="BN13" i="1"/>
  <c r="CB13" i="1" s="1"/>
  <c r="BO13" i="1"/>
  <c r="CC13" i="1" s="1"/>
  <c r="BP13" i="1"/>
  <c r="CD13" i="1" s="1"/>
  <c r="BQ13" i="1"/>
  <c r="CE13" i="1" s="1"/>
  <c r="BR13" i="1"/>
  <c r="CF13" i="1" s="1"/>
  <c r="BS13" i="1"/>
  <c r="CG13" i="1" s="1"/>
  <c r="BT13" i="1"/>
  <c r="CH13" i="1" s="1"/>
  <c r="BU13" i="1"/>
  <c r="CI13" i="1" s="1"/>
  <c r="BV13" i="1"/>
  <c r="CJ13" i="1" s="1"/>
  <c r="BW13" i="1"/>
  <c r="CK13" i="1" s="1"/>
  <c r="BX13" i="1"/>
  <c r="CL13" i="1" s="1"/>
  <c r="BY13" i="1"/>
  <c r="CM13" i="1" s="1"/>
  <c r="BZ13" i="1"/>
  <c r="CN13" i="1" s="1"/>
  <c r="CA13" i="1"/>
  <c r="CO13" i="1" s="1"/>
  <c r="BN14" i="1"/>
  <c r="CB14" i="1" s="1"/>
  <c r="BO14" i="1"/>
  <c r="CC14" i="1" s="1"/>
  <c r="BP14" i="1"/>
  <c r="CD14" i="1" s="1"/>
  <c r="BQ14" i="1"/>
  <c r="CE14" i="1" s="1"/>
  <c r="BR14" i="1"/>
  <c r="CF14" i="1" s="1"/>
  <c r="BS14" i="1"/>
  <c r="CG14" i="1" s="1"/>
  <c r="BT14" i="1"/>
  <c r="CH14" i="1" s="1"/>
  <c r="BU14" i="1"/>
  <c r="CI14" i="1" s="1"/>
  <c r="BV14" i="1"/>
  <c r="CJ14" i="1" s="1"/>
  <c r="BW14" i="1"/>
  <c r="CK14" i="1" s="1"/>
  <c r="BX14" i="1"/>
  <c r="CL14" i="1" s="1"/>
  <c r="BY14" i="1"/>
  <c r="CM14" i="1" s="1"/>
  <c r="BZ14" i="1"/>
  <c r="CN14" i="1" s="1"/>
  <c r="CA14" i="1"/>
  <c r="CO14" i="1" s="1"/>
  <c r="BN15" i="1"/>
  <c r="CB15" i="1" s="1"/>
  <c r="BO15" i="1"/>
  <c r="CC15" i="1" s="1"/>
  <c r="BP15" i="1"/>
  <c r="CD15" i="1" s="1"/>
  <c r="BQ15" i="1"/>
  <c r="CE15" i="1" s="1"/>
  <c r="BR15" i="1"/>
  <c r="CF15" i="1" s="1"/>
  <c r="BS15" i="1"/>
  <c r="CG15" i="1" s="1"/>
  <c r="BT15" i="1"/>
  <c r="CH15" i="1" s="1"/>
  <c r="BU15" i="1"/>
  <c r="CI15" i="1" s="1"/>
  <c r="BV15" i="1"/>
  <c r="CJ15" i="1" s="1"/>
  <c r="BW15" i="1"/>
  <c r="CK15" i="1" s="1"/>
  <c r="BX15" i="1"/>
  <c r="CL15" i="1" s="1"/>
  <c r="BY15" i="1"/>
  <c r="CM15" i="1" s="1"/>
  <c r="BZ15" i="1"/>
  <c r="CN15" i="1" s="1"/>
  <c r="CA15" i="1"/>
  <c r="CO15" i="1" s="1"/>
  <c r="BN16" i="1"/>
  <c r="CB16" i="1" s="1"/>
  <c r="BO16" i="1"/>
  <c r="CC16" i="1" s="1"/>
  <c r="BP16" i="1"/>
  <c r="CD16" i="1" s="1"/>
  <c r="BQ16" i="1"/>
  <c r="CE16" i="1" s="1"/>
  <c r="BR16" i="1"/>
  <c r="CF16" i="1" s="1"/>
  <c r="BS16" i="1"/>
  <c r="CG16" i="1" s="1"/>
  <c r="BT16" i="1"/>
  <c r="CH16" i="1" s="1"/>
  <c r="BU16" i="1"/>
  <c r="CI16" i="1" s="1"/>
  <c r="BV16" i="1"/>
  <c r="CJ16" i="1" s="1"/>
  <c r="BW16" i="1"/>
  <c r="CK16" i="1" s="1"/>
  <c r="BX16" i="1"/>
  <c r="CL16" i="1" s="1"/>
  <c r="BY16" i="1"/>
  <c r="CM16" i="1" s="1"/>
  <c r="BZ16" i="1"/>
  <c r="CN16" i="1" s="1"/>
  <c r="CA16" i="1"/>
  <c r="CO16" i="1" s="1"/>
  <c r="BN17" i="1"/>
  <c r="CB17" i="1" s="1"/>
  <c r="BO17" i="1"/>
  <c r="CC17" i="1" s="1"/>
  <c r="BP17" i="1"/>
  <c r="CD17" i="1" s="1"/>
  <c r="BQ17" i="1"/>
  <c r="CE17" i="1" s="1"/>
  <c r="BR17" i="1"/>
  <c r="CF17" i="1" s="1"/>
  <c r="BS17" i="1"/>
  <c r="CG17" i="1" s="1"/>
  <c r="BT17" i="1"/>
  <c r="CH17" i="1" s="1"/>
  <c r="BU17" i="1"/>
  <c r="CI17" i="1" s="1"/>
  <c r="BV17" i="1"/>
  <c r="CJ17" i="1" s="1"/>
  <c r="BW17" i="1"/>
  <c r="CK17" i="1" s="1"/>
  <c r="BX17" i="1"/>
  <c r="CL17" i="1" s="1"/>
  <c r="BY17" i="1"/>
  <c r="CM17" i="1" s="1"/>
  <c r="BZ17" i="1"/>
  <c r="CN17" i="1" s="1"/>
  <c r="CA17" i="1"/>
  <c r="CO17" i="1" s="1"/>
  <c r="BN18" i="1"/>
  <c r="CB18" i="1" s="1"/>
  <c r="BO18" i="1"/>
  <c r="CC18" i="1" s="1"/>
  <c r="BP18" i="1"/>
  <c r="CD18" i="1" s="1"/>
  <c r="BQ18" i="1"/>
  <c r="CE18" i="1" s="1"/>
  <c r="BR18" i="1"/>
  <c r="CF18" i="1" s="1"/>
  <c r="BS18" i="1"/>
  <c r="CG18" i="1" s="1"/>
  <c r="BT18" i="1"/>
  <c r="CH18" i="1" s="1"/>
  <c r="BU18" i="1"/>
  <c r="CI18" i="1" s="1"/>
  <c r="BV18" i="1"/>
  <c r="CJ18" i="1" s="1"/>
  <c r="BW18" i="1"/>
  <c r="CK18" i="1" s="1"/>
  <c r="BX18" i="1"/>
  <c r="CL18" i="1" s="1"/>
  <c r="BY18" i="1"/>
  <c r="CM18" i="1" s="1"/>
  <c r="BZ18" i="1"/>
  <c r="CN18" i="1" s="1"/>
  <c r="CA18" i="1"/>
  <c r="CO18" i="1" s="1"/>
  <c r="BN19" i="1"/>
  <c r="CB19" i="1" s="1"/>
  <c r="BO19" i="1"/>
  <c r="CC19" i="1" s="1"/>
  <c r="BP19" i="1"/>
  <c r="CD19" i="1" s="1"/>
  <c r="BQ19" i="1"/>
  <c r="CE19" i="1" s="1"/>
  <c r="BR19" i="1"/>
  <c r="CF19" i="1" s="1"/>
  <c r="BS19" i="1"/>
  <c r="CG19" i="1" s="1"/>
  <c r="BT19" i="1"/>
  <c r="CH19" i="1" s="1"/>
  <c r="BU19" i="1"/>
  <c r="CI19" i="1" s="1"/>
  <c r="BV19" i="1"/>
  <c r="CJ19" i="1" s="1"/>
  <c r="BW19" i="1"/>
  <c r="CK19" i="1" s="1"/>
  <c r="BX19" i="1"/>
  <c r="CL19" i="1" s="1"/>
  <c r="BY19" i="1"/>
  <c r="CM19" i="1" s="1"/>
  <c r="BZ19" i="1"/>
  <c r="CN19" i="1" s="1"/>
  <c r="CA19" i="1"/>
  <c r="CO19" i="1" s="1"/>
  <c r="BN20" i="1"/>
  <c r="CB20" i="1" s="1"/>
  <c r="BO20" i="1"/>
  <c r="CC20" i="1" s="1"/>
  <c r="BP20" i="1"/>
  <c r="CD20" i="1" s="1"/>
  <c r="BQ20" i="1"/>
  <c r="CE20" i="1" s="1"/>
  <c r="BR20" i="1"/>
  <c r="CF20" i="1" s="1"/>
  <c r="BS20" i="1"/>
  <c r="CG20" i="1" s="1"/>
  <c r="BT20" i="1"/>
  <c r="CH20" i="1" s="1"/>
  <c r="BU20" i="1"/>
  <c r="CI20" i="1" s="1"/>
  <c r="BV20" i="1"/>
  <c r="CJ20" i="1" s="1"/>
  <c r="BW20" i="1"/>
  <c r="CK20" i="1" s="1"/>
  <c r="BX20" i="1"/>
  <c r="CL20" i="1" s="1"/>
  <c r="BY20" i="1"/>
  <c r="CM20" i="1" s="1"/>
  <c r="BZ20" i="1"/>
  <c r="CN20" i="1" s="1"/>
  <c r="CA20" i="1"/>
  <c r="CO20" i="1" s="1"/>
  <c r="BN21" i="1"/>
  <c r="CB21" i="1" s="1"/>
  <c r="BO21" i="1"/>
  <c r="CC21" i="1" s="1"/>
  <c r="BP21" i="1"/>
  <c r="CD21" i="1" s="1"/>
  <c r="BQ21" i="1"/>
  <c r="CE21" i="1" s="1"/>
  <c r="BR21" i="1"/>
  <c r="CF21" i="1" s="1"/>
  <c r="BS21" i="1"/>
  <c r="CG21" i="1" s="1"/>
  <c r="BT21" i="1"/>
  <c r="CH21" i="1" s="1"/>
  <c r="BU21" i="1"/>
  <c r="CI21" i="1" s="1"/>
  <c r="BV21" i="1"/>
  <c r="CJ21" i="1" s="1"/>
  <c r="BW21" i="1"/>
  <c r="CK21" i="1" s="1"/>
  <c r="BX21" i="1"/>
  <c r="CL21" i="1" s="1"/>
  <c r="BY21" i="1"/>
  <c r="CM21" i="1" s="1"/>
  <c r="BZ21" i="1"/>
  <c r="CN21" i="1" s="1"/>
  <c r="CA21" i="1"/>
  <c r="CO21" i="1" s="1"/>
  <c r="BN22" i="1"/>
  <c r="CB22" i="1" s="1"/>
  <c r="BO22" i="1"/>
  <c r="CC22" i="1" s="1"/>
  <c r="BP22" i="1"/>
  <c r="CD22" i="1" s="1"/>
  <c r="BQ22" i="1"/>
  <c r="CE22" i="1" s="1"/>
  <c r="BR22" i="1"/>
  <c r="CF22" i="1" s="1"/>
  <c r="BS22" i="1"/>
  <c r="CG22" i="1" s="1"/>
  <c r="BT22" i="1"/>
  <c r="CH22" i="1" s="1"/>
  <c r="BU22" i="1"/>
  <c r="CI22" i="1" s="1"/>
  <c r="BV22" i="1"/>
  <c r="CJ22" i="1" s="1"/>
  <c r="BW22" i="1"/>
  <c r="CK22" i="1" s="1"/>
  <c r="BX22" i="1"/>
  <c r="CL22" i="1" s="1"/>
  <c r="BY22" i="1"/>
  <c r="CM22" i="1" s="1"/>
  <c r="BZ22" i="1"/>
  <c r="CN22" i="1" s="1"/>
  <c r="CA22" i="1"/>
  <c r="CO22" i="1" s="1"/>
  <c r="BN23" i="1"/>
  <c r="CB23" i="1" s="1"/>
  <c r="BO23" i="1"/>
  <c r="CC23" i="1" s="1"/>
  <c r="BP23" i="1"/>
  <c r="CD23" i="1" s="1"/>
  <c r="BQ23" i="1"/>
  <c r="CE23" i="1" s="1"/>
  <c r="BR23" i="1"/>
  <c r="CF23" i="1" s="1"/>
  <c r="BS23" i="1"/>
  <c r="CG23" i="1" s="1"/>
  <c r="BT23" i="1"/>
  <c r="CH23" i="1" s="1"/>
  <c r="BU23" i="1"/>
  <c r="CI23" i="1" s="1"/>
  <c r="BV23" i="1"/>
  <c r="CJ23" i="1" s="1"/>
  <c r="BW23" i="1"/>
  <c r="CK23" i="1" s="1"/>
  <c r="BX23" i="1"/>
  <c r="CL23" i="1" s="1"/>
  <c r="BY23" i="1"/>
  <c r="CM23" i="1" s="1"/>
  <c r="BZ23" i="1"/>
  <c r="CN23" i="1" s="1"/>
  <c r="CA23" i="1"/>
  <c r="CO23" i="1" s="1"/>
  <c r="BN24" i="1"/>
  <c r="CB24" i="1" s="1"/>
  <c r="BO24" i="1"/>
  <c r="CC24" i="1" s="1"/>
  <c r="BP24" i="1"/>
  <c r="CD24" i="1" s="1"/>
  <c r="BQ24" i="1"/>
  <c r="CE24" i="1" s="1"/>
  <c r="BR24" i="1"/>
  <c r="CF24" i="1" s="1"/>
  <c r="BS24" i="1"/>
  <c r="CG24" i="1" s="1"/>
  <c r="BT24" i="1"/>
  <c r="CH24" i="1" s="1"/>
  <c r="BU24" i="1"/>
  <c r="CI24" i="1" s="1"/>
  <c r="BV24" i="1"/>
  <c r="CJ24" i="1" s="1"/>
  <c r="BW24" i="1"/>
  <c r="CK24" i="1" s="1"/>
  <c r="BX24" i="1"/>
  <c r="CL24" i="1" s="1"/>
  <c r="BY24" i="1"/>
  <c r="CM24" i="1" s="1"/>
  <c r="BZ24" i="1"/>
  <c r="CN24" i="1" s="1"/>
  <c r="CA24" i="1"/>
  <c r="CO24" i="1" s="1"/>
  <c r="BN25" i="1"/>
  <c r="CB25" i="1" s="1"/>
  <c r="BO25" i="1"/>
  <c r="CC25" i="1" s="1"/>
  <c r="BP25" i="1"/>
  <c r="CD25" i="1" s="1"/>
  <c r="BQ25" i="1"/>
  <c r="CE25" i="1" s="1"/>
  <c r="BR25" i="1"/>
  <c r="CF25" i="1" s="1"/>
  <c r="BS25" i="1"/>
  <c r="CG25" i="1" s="1"/>
  <c r="BT25" i="1"/>
  <c r="CH25" i="1" s="1"/>
  <c r="BU25" i="1"/>
  <c r="CI25" i="1" s="1"/>
  <c r="BV25" i="1"/>
  <c r="CJ25" i="1" s="1"/>
  <c r="BW25" i="1"/>
  <c r="CK25" i="1" s="1"/>
  <c r="BX25" i="1"/>
  <c r="CL25" i="1" s="1"/>
  <c r="BY25" i="1"/>
  <c r="CM25" i="1" s="1"/>
  <c r="BZ25" i="1"/>
  <c r="CN25" i="1" s="1"/>
  <c r="CA25" i="1"/>
  <c r="CO25" i="1" s="1"/>
  <c r="BN26" i="1"/>
  <c r="CB26" i="1" s="1"/>
  <c r="BO26" i="1"/>
  <c r="CC26" i="1" s="1"/>
  <c r="BP26" i="1"/>
  <c r="CD26" i="1" s="1"/>
  <c r="BQ26" i="1"/>
  <c r="CE26" i="1" s="1"/>
  <c r="BR26" i="1"/>
  <c r="CF26" i="1" s="1"/>
  <c r="BS26" i="1"/>
  <c r="CG26" i="1" s="1"/>
  <c r="BT26" i="1"/>
  <c r="CH26" i="1" s="1"/>
  <c r="BU26" i="1"/>
  <c r="CI26" i="1" s="1"/>
  <c r="BV26" i="1"/>
  <c r="CJ26" i="1" s="1"/>
  <c r="BW26" i="1"/>
  <c r="CK26" i="1" s="1"/>
  <c r="BX26" i="1"/>
  <c r="CL26" i="1" s="1"/>
  <c r="BY26" i="1"/>
  <c r="CM26" i="1" s="1"/>
  <c r="BZ26" i="1"/>
  <c r="CN26" i="1" s="1"/>
  <c r="CA26" i="1"/>
  <c r="CO26" i="1" s="1"/>
  <c r="BN27" i="1"/>
  <c r="CB27" i="1" s="1"/>
  <c r="BO27" i="1"/>
  <c r="CC27" i="1" s="1"/>
  <c r="BP27" i="1"/>
  <c r="CD27" i="1" s="1"/>
  <c r="BQ27" i="1"/>
  <c r="CE27" i="1" s="1"/>
  <c r="BR27" i="1"/>
  <c r="CF27" i="1" s="1"/>
  <c r="BS27" i="1"/>
  <c r="CG27" i="1" s="1"/>
  <c r="BT27" i="1"/>
  <c r="CH27" i="1" s="1"/>
  <c r="BU27" i="1"/>
  <c r="CI27" i="1" s="1"/>
  <c r="BV27" i="1"/>
  <c r="CJ27" i="1" s="1"/>
  <c r="BW27" i="1"/>
  <c r="CK27" i="1" s="1"/>
  <c r="BX27" i="1"/>
  <c r="CL27" i="1" s="1"/>
  <c r="BY27" i="1"/>
  <c r="CM27" i="1" s="1"/>
  <c r="BZ27" i="1"/>
  <c r="CN27" i="1" s="1"/>
  <c r="CA27" i="1"/>
  <c r="CO27" i="1" s="1"/>
  <c r="BN28" i="1"/>
  <c r="CB28" i="1" s="1"/>
  <c r="BO28" i="1"/>
  <c r="CC28" i="1" s="1"/>
  <c r="BP28" i="1"/>
  <c r="CD28" i="1" s="1"/>
  <c r="BQ28" i="1"/>
  <c r="CE28" i="1" s="1"/>
  <c r="BR28" i="1"/>
  <c r="CF28" i="1" s="1"/>
  <c r="BS28" i="1"/>
  <c r="CG28" i="1" s="1"/>
  <c r="BT28" i="1"/>
  <c r="CH28" i="1" s="1"/>
  <c r="BU28" i="1"/>
  <c r="CI28" i="1" s="1"/>
  <c r="BV28" i="1"/>
  <c r="CJ28" i="1" s="1"/>
  <c r="BW28" i="1"/>
  <c r="CK28" i="1" s="1"/>
  <c r="BX28" i="1"/>
  <c r="CL28" i="1" s="1"/>
  <c r="BY28" i="1"/>
  <c r="CM28" i="1" s="1"/>
  <c r="BZ28" i="1"/>
  <c r="CN28" i="1" s="1"/>
  <c r="CA28" i="1"/>
  <c r="CO28" i="1" s="1"/>
  <c r="BN29" i="1"/>
  <c r="CB29" i="1" s="1"/>
  <c r="BO29" i="1"/>
  <c r="CC29" i="1" s="1"/>
  <c r="BP29" i="1"/>
  <c r="CD29" i="1" s="1"/>
  <c r="BQ29" i="1"/>
  <c r="CE29" i="1" s="1"/>
  <c r="BR29" i="1"/>
  <c r="CF29" i="1" s="1"/>
  <c r="BS29" i="1"/>
  <c r="CG29" i="1" s="1"/>
  <c r="BT29" i="1"/>
  <c r="CH29" i="1" s="1"/>
  <c r="BU29" i="1"/>
  <c r="CI29" i="1" s="1"/>
  <c r="BV29" i="1"/>
  <c r="CJ29" i="1" s="1"/>
  <c r="BW29" i="1"/>
  <c r="CK29" i="1" s="1"/>
  <c r="BX29" i="1"/>
  <c r="CL29" i="1" s="1"/>
  <c r="BY29" i="1"/>
  <c r="CM29" i="1" s="1"/>
  <c r="BZ29" i="1"/>
  <c r="CN29" i="1" s="1"/>
  <c r="CA29" i="1"/>
  <c r="CO29" i="1" s="1"/>
  <c r="BN30" i="1"/>
  <c r="CB30" i="1" s="1"/>
  <c r="BO30" i="1"/>
  <c r="CC30" i="1" s="1"/>
  <c r="BP30" i="1"/>
  <c r="CD30" i="1" s="1"/>
  <c r="BQ30" i="1"/>
  <c r="CE30" i="1" s="1"/>
  <c r="BR30" i="1"/>
  <c r="CF30" i="1" s="1"/>
  <c r="BS30" i="1"/>
  <c r="CG30" i="1" s="1"/>
  <c r="BT30" i="1"/>
  <c r="CH30" i="1" s="1"/>
  <c r="BU30" i="1"/>
  <c r="CI30" i="1" s="1"/>
  <c r="BV30" i="1"/>
  <c r="CJ30" i="1" s="1"/>
  <c r="BW30" i="1"/>
  <c r="CK30" i="1" s="1"/>
  <c r="BX30" i="1"/>
  <c r="CL30" i="1" s="1"/>
  <c r="BY30" i="1"/>
  <c r="CM30" i="1" s="1"/>
  <c r="BZ30" i="1"/>
  <c r="CN30" i="1" s="1"/>
  <c r="CA30" i="1"/>
  <c r="CO30" i="1" s="1"/>
  <c r="BN31" i="1"/>
  <c r="CB31" i="1" s="1"/>
  <c r="BO31" i="1"/>
  <c r="CC31" i="1" s="1"/>
  <c r="BP31" i="1"/>
  <c r="CD31" i="1" s="1"/>
  <c r="BQ31" i="1"/>
  <c r="CE31" i="1" s="1"/>
  <c r="BR31" i="1"/>
  <c r="CF31" i="1" s="1"/>
  <c r="BS31" i="1"/>
  <c r="CG31" i="1" s="1"/>
  <c r="BT31" i="1"/>
  <c r="CH31" i="1" s="1"/>
  <c r="BU31" i="1"/>
  <c r="CI31" i="1" s="1"/>
  <c r="BV31" i="1"/>
  <c r="CJ31" i="1" s="1"/>
  <c r="BW31" i="1"/>
  <c r="CK31" i="1" s="1"/>
  <c r="BX31" i="1"/>
  <c r="CL31" i="1" s="1"/>
  <c r="BY31" i="1"/>
  <c r="CM31" i="1" s="1"/>
  <c r="BZ31" i="1"/>
  <c r="CN31" i="1" s="1"/>
  <c r="CA31" i="1"/>
  <c r="CO31" i="1" s="1"/>
  <c r="BN32" i="1"/>
  <c r="CB32" i="1" s="1"/>
  <c r="BO32" i="1"/>
  <c r="CC32" i="1" s="1"/>
  <c r="BP32" i="1"/>
  <c r="CD32" i="1" s="1"/>
  <c r="BQ32" i="1"/>
  <c r="CE32" i="1" s="1"/>
  <c r="BR32" i="1"/>
  <c r="CF32" i="1" s="1"/>
  <c r="BS32" i="1"/>
  <c r="CG32" i="1" s="1"/>
  <c r="BT32" i="1"/>
  <c r="CH32" i="1" s="1"/>
  <c r="BU32" i="1"/>
  <c r="CI32" i="1" s="1"/>
  <c r="BV32" i="1"/>
  <c r="CJ32" i="1" s="1"/>
  <c r="BW32" i="1"/>
  <c r="CK32" i="1" s="1"/>
  <c r="BX32" i="1"/>
  <c r="CL32" i="1" s="1"/>
  <c r="BY32" i="1"/>
  <c r="CM32" i="1" s="1"/>
  <c r="BZ32" i="1"/>
  <c r="CN32" i="1" s="1"/>
  <c r="CA32" i="1"/>
  <c r="CO32" i="1" s="1"/>
  <c r="BN33" i="1"/>
  <c r="CB33" i="1" s="1"/>
  <c r="BO33" i="1"/>
  <c r="CC33" i="1" s="1"/>
  <c r="BP33" i="1"/>
  <c r="CD33" i="1" s="1"/>
  <c r="BQ33" i="1"/>
  <c r="CE33" i="1" s="1"/>
  <c r="BR33" i="1"/>
  <c r="CF33" i="1" s="1"/>
  <c r="BS33" i="1"/>
  <c r="CG33" i="1" s="1"/>
  <c r="BT33" i="1"/>
  <c r="CH33" i="1" s="1"/>
  <c r="BU33" i="1"/>
  <c r="CI33" i="1" s="1"/>
  <c r="BV33" i="1"/>
  <c r="CJ33" i="1" s="1"/>
  <c r="BW33" i="1"/>
  <c r="CK33" i="1" s="1"/>
  <c r="BX33" i="1"/>
  <c r="CL33" i="1" s="1"/>
  <c r="BY33" i="1"/>
  <c r="CM33" i="1" s="1"/>
  <c r="BZ33" i="1"/>
  <c r="CN33" i="1" s="1"/>
  <c r="CA33" i="1"/>
  <c r="CO33" i="1" s="1"/>
  <c r="BN34" i="1"/>
  <c r="CB34" i="1" s="1"/>
  <c r="BO34" i="1"/>
  <c r="CC34" i="1" s="1"/>
  <c r="BP34" i="1"/>
  <c r="CD34" i="1" s="1"/>
  <c r="BQ34" i="1"/>
  <c r="CE34" i="1" s="1"/>
  <c r="BR34" i="1"/>
  <c r="CF34" i="1" s="1"/>
  <c r="BS34" i="1"/>
  <c r="CG34" i="1" s="1"/>
  <c r="BT34" i="1"/>
  <c r="CH34" i="1" s="1"/>
  <c r="BU34" i="1"/>
  <c r="CI34" i="1" s="1"/>
  <c r="BV34" i="1"/>
  <c r="CJ34" i="1" s="1"/>
  <c r="BW34" i="1"/>
  <c r="CK34" i="1" s="1"/>
  <c r="BX34" i="1"/>
  <c r="CL34" i="1" s="1"/>
  <c r="BY34" i="1"/>
  <c r="CM34" i="1" s="1"/>
  <c r="BZ34" i="1"/>
  <c r="CN34" i="1" s="1"/>
  <c r="CA34" i="1"/>
  <c r="CO34" i="1" s="1"/>
  <c r="BN35" i="1"/>
  <c r="CB35" i="1" s="1"/>
  <c r="BO35" i="1"/>
  <c r="CC35" i="1" s="1"/>
  <c r="BP35" i="1"/>
  <c r="CD35" i="1" s="1"/>
  <c r="BQ35" i="1"/>
  <c r="CE35" i="1" s="1"/>
  <c r="BR35" i="1"/>
  <c r="CF35" i="1" s="1"/>
  <c r="BS35" i="1"/>
  <c r="CG35" i="1" s="1"/>
  <c r="BT35" i="1"/>
  <c r="CH35" i="1" s="1"/>
  <c r="BU35" i="1"/>
  <c r="CI35" i="1" s="1"/>
  <c r="BV35" i="1"/>
  <c r="CJ35" i="1" s="1"/>
  <c r="BW35" i="1"/>
  <c r="CK35" i="1" s="1"/>
  <c r="BX35" i="1"/>
  <c r="CL35" i="1" s="1"/>
  <c r="BY35" i="1"/>
  <c r="CM35" i="1" s="1"/>
  <c r="BZ35" i="1"/>
  <c r="CN35" i="1" s="1"/>
  <c r="CA35" i="1"/>
  <c r="CO35" i="1" s="1"/>
  <c r="BN36" i="1"/>
  <c r="CB36" i="1" s="1"/>
  <c r="BO36" i="1"/>
  <c r="CC36" i="1" s="1"/>
  <c r="BP36" i="1"/>
  <c r="CD36" i="1" s="1"/>
  <c r="BQ36" i="1"/>
  <c r="CE36" i="1" s="1"/>
  <c r="BR36" i="1"/>
  <c r="CF36" i="1" s="1"/>
  <c r="BS36" i="1"/>
  <c r="CG36" i="1" s="1"/>
  <c r="BT36" i="1"/>
  <c r="CH36" i="1" s="1"/>
  <c r="BU36" i="1"/>
  <c r="CI36" i="1" s="1"/>
  <c r="BV36" i="1"/>
  <c r="CJ36" i="1" s="1"/>
  <c r="BW36" i="1"/>
  <c r="CK36" i="1" s="1"/>
  <c r="BX36" i="1"/>
  <c r="CL36" i="1" s="1"/>
  <c r="BY36" i="1"/>
  <c r="CM36" i="1" s="1"/>
  <c r="BZ36" i="1"/>
  <c r="CN36" i="1" s="1"/>
  <c r="CA36" i="1"/>
  <c r="CO36" i="1" s="1"/>
  <c r="BN37" i="1"/>
  <c r="CB37" i="1" s="1"/>
  <c r="BO37" i="1"/>
  <c r="CC37" i="1" s="1"/>
  <c r="BP37" i="1"/>
  <c r="CD37" i="1" s="1"/>
  <c r="BQ37" i="1"/>
  <c r="CE37" i="1" s="1"/>
  <c r="BR37" i="1"/>
  <c r="CF37" i="1" s="1"/>
  <c r="BS37" i="1"/>
  <c r="CG37" i="1" s="1"/>
  <c r="BT37" i="1"/>
  <c r="CH37" i="1" s="1"/>
  <c r="BU37" i="1"/>
  <c r="CI37" i="1" s="1"/>
  <c r="BV37" i="1"/>
  <c r="CJ37" i="1" s="1"/>
  <c r="BW37" i="1"/>
  <c r="CK37" i="1" s="1"/>
  <c r="BX37" i="1"/>
  <c r="CL37" i="1" s="1"/>
  <c r="BY37" i="1"/>
  <c r="CM37" i="1" s="1"/>
  <c r="BZ37" i="1"/>
  <c r="CN37" i="1" s="1"/>
  <c r="CA37" i="1"/>
  <c r="CO37" i="1" s="1"/>
  <c r="BN38" i="1"/>
  <c r="CB38" i="1" s="1"/>
  <c r="BO38" i="1"/>
  <c r="CC38" i="1" s="1"/>
  <c r="BP38" i="1"/>
  <c r="CD38" i="1" s="1"/>
  <c r="BQ38" i="1"/>
  <c r="CE38" i="1" s="1"/>
  <c r="BR38" i="1"/>
  <c r="CF38" i="1" s="1"/>
  <c r="BS38" i="1"/>
  <c r="CG38" i="1" s="1"/>
  <c r="BT38" i="1"/>
  <c r="CH38" i="1" s="1"/>
  <c r="BU38" i="1"/>
  <c r="CI38" i="1" s="1"/>
  <c r="BV38" i="1"/>
  <c r="CJ38" i="1" s="1"/>
  <c r="BW38" i="1"/>
  <c r="CK38" i="1" s="1"/>
  <c r="BX38" i="1"/>
  <c r="CL38" i="1" s="1"/>
  <c r="BY38" i="1"/>
  <c r="CM38" i="1" s="1"/>
  <c r="BZ38" i="1"/>
  <c r="CN38" i="1" s="1"/>
  <c r="CA38" i="1"/>
  <c r="CO38" i="1" s="1"/>
  <c r="BN39" i="1"/>
  <c r="CB39" i="1" s="1"/>
  <c r="BO39" i="1"/>
  <c r="CC39" i="1" s="1"/>
  <c r="BP39" i="1"/>
  <c r="CD39" i="1" s="1"/>
  <c r="BQ39" i="1"/>
  <c r="CE39" i="1" s="1"/>
  <c r="BR39" i="1"/>
  <c r="CF39" i="1" s="1"/>
  <c r="BS39" i="1"/>
  <c r="CG39" i="1" s="1"/>
  <c r="BT39" i="1"/>
  <c r="CH39" i="1" s="1"/>
  <c r="BU39" i="1"/>
  <c r="CI39" i="1" s="1"/>
  <c r="BV39" i="1"/>
  <c r="CJ39" i="1" s="1"/>
  <c r="BW39" i="1"/>
  <c r="CK39" i="1" s="1"/>
  <c r="BX39" i="1"/>
  <c r="CL39" i="1" s="1"/>
  <c r="BY39" i="1"/>
  <c r="CM39" i="1" s="1"/>
  <c r="BZ39" i="1"/>
  <c r="CN39" i="1" s="1"/>
  <c r="CA39" i="1"/>
  <c r="CO39" i="1" s="1"/>
  <c r="BN40" i="1"/>
  <c r="CB40" i="1" s="1"/>
  <c r="BO40" i="1"/>
  <c r="CC40" i="1" s="1"/>
  <c r="BP40" i="1"/>
  <c r="CD40" i="1" s="1"/>
  <c r="BQ40" i="1"/>
  <c r="CE40" i="1" s="1"/>
  <c r="BR40" i="1"/>
  <c r="CF40" i="1" s="1"/>
  <c r="BS40" i="1"/>
  <c r="CG40" i="1" s="1"/>
  <c r="BT40" i="1"/>
  <c r="CH40" i="1" s="1"/>
  <c r="BU40" i="1"/>
  <c r="CI40" i="1" s="1"/>
  <c r="BV40" i="1"/>
  <c r="CJ40" i="1" s="1"/>
  <c r="BW40" i="1"/>
  <c r="CK40" i="1" s="1"/>
  <c r="BX40" i="1"/>
  <c r="CL40" i="1" s="1"/>
  <c r="BY40" i="1"/>
  <c r="CM40" i="1" s="1"/>
  <c r="BZ40" i="1"/>
  <c r="CN40" i="1" s="1"/>
  <c r="CA40" i="1"/>
  <c r="CO40" i="1" s="1"/>
  <c r="BN41" i="1"/>
  <c r="CB41" i="1" s="1"/>
  <c r="BO41" i="1"/>
  <c r="CC41" i="1" s="1"/>
  <c r="BP41" i="1"/>
  <c r="CD41" i="1" s="1"/>
  <c r="BQ41" i="1"/>
  <c r="CE41" i="1" s="1"/>
  <c r="BR41" i="1"/>
  <c r="CF41" i="1" s="1"/>
  <c r="BS41" i="1"/>
  <c r="CG41" i="1" s="1"/>
  <c r="BT41" i="1"/>
  <c r="CH41" i="1" s="1"/>
  <c r="BU41" i="1"/>
  <c r="CI41" i="1" s="1"/>
  <c r="BV41" i="1"/>
  <c r="CJ41" i="1" s="1"/>
  <c r="BW41" i="1"/>
  <c r="CK41" i="1" s="1"/>
  <c r="BX41" i="1"/>
  <c r="CL41" i="1" s="1"/>
  <c r="BY41" i="1"/>
  <c r="CM41" i="1" s="1"/>
  <c r="BZ41" i="1"/>
  <c r="CN41" i="1" s="1"/>
  <c r="CA41" i="1"/>
  <c r="CO41" i="1" s="1"/>
  <c r="BN42" i="1"/>
  <c r="CB42" i="1" s="1"/>
  <c r="BO42" i="1"/>
  <c r="CC42" i="1" s="1"/>
  <c r="BP42" i="1"/>
  <c r="CD42" i="1" s="1"/>
  <c r="BQ42" i="1"/>
  <c r="CE42" i="1" s="1"/>
  <c r="BR42" i="1"/>
  <c r="CF42" i="1" s="1"/>
  <c r="BS42" i="1"/>
  <c r="CG42" i="1" s="1"/>
  <c r="BT42" i="1"/>
  <c r="CH42" i="1" s="1"/>
  <c r="BU42" i="1"/>
  <c r="CI42" i="1" s="1"/>
  <c r="BV42" i="1"/>
  <c r="CJ42" i="1" s="1"/>
  <c r="BW42" i="1"/>
  <c r="CK42" i="1" s="1"/>
  <c r="BX42" i="1"/>
  <c r="CL42" i="1" s="1"/>
  <c r="BY42" i="1"/>
  <c r="CM42" i="1" s="1"/>
  <c r="BZ42" i="1"/>
  <c r="CN42" i="1" s="1"/>
  <c r="CA42" i="1"/>
  <c r="CO42" i="1" s="1"/>
  <c r="BN43" i="1"/>
  <c r="CB43" i="1" s="1"/>
  <c r="BO43" i="1"/>
  <c r="CC43" i="1" s="1"/>
  <c r="BP43" i="1"/>
  <c r="CD43" i="1" s="1"/>
  <c r="BQ43" i="1"/>
  <c r="CE43" i="1" s="1"/>
  <c r="BR43" i="1"/>
  <c r="CF43" i="1" s="1"/>
  <c r="BS43" i="1"/>
  <c r="CG43" i="1" s="1"/>
  <c r="BT43" i="1"/>
  <c r="CH43" i="1" s="1"/>
  <c r="BU43" i="1"/>
  <c r="CI43" i="1" s="1"/>
  <c r="BV43" i="1"/>
  <c r="CJ43" i="1" s="1"/>
  <c r="BW43" i="1"/>
  <c r="CK43" i="1" s="1"/>
  <c r="BX43" i="1"/>
  <c r="CL43" i="1" s="1"/>
  <c r="BY43" i="1"/>
  <c r="CM43" i="1" s="1"/>
  <c r="BZ43" i="1"/>
  <c r="CN43" i="1" s="1"/>
  <c r="CA43" i="1"/>
  <c r="CO43" i="1" s="1"/>
  <c r="BN44" i="1"/>
  <c r="CB44" i="1" s="1"/>
  <c r="BO44" i="1"/>
  <c r="CC44" i="1" s="1"/>
  <c r="BP44" i="1"/>
  <c r="CD44" i="1" s="1"/>
  <c r="BQ44" i="1"/>
  <c r="CE44" i="1" s="1"/>
  <c r="BR44" i="1"/>
  <c r="CF44" i="1" s="1"/>
  <c r="BS44" i="1"/>
  <c r="CG44" i="1" s="1"/>
  <c r="BT44" i="1"/>
  <c r="CH44" i="1" s="1"/>
  <c r="BU44" i="1"/>
  <c r="CI44" i="1" s="1"/>
  <c r="BV44" i="1"/>
  <c r="CJ44" i="1" s="1"/>
  <c r="BW44" i="1"/>
  <c r="CK44" i="1" s="1"/>
  <c r="BX44" i="1"/>
  <c r="CL44" i="1" s="1"/>
  <c r="BY44" i="1"/>
  <c r="CM44" i="1" s="1"/>
  <c r="BZ44" i="1"/>
  <c r="CN44" i="1" s="1"/>
  <c r="CA44" i="1"/>
  <c r="CO44" i="1" s="1"/>
  <c r="BN45" i="1"/>
  <c r="CB45" i="1" s="1"/>
  <c r="BO45" i="1"/>
  <c r="CC45" i="1" s="1"/>
  <c r="BP45" i="1"/>
  <c r="CD45" i="1" s="1"/>
  <c r="BQ45" i="1"/>
  <c r="CE45" i="1" s="1"/>
  <c r="BR45" i="1"/>
  <c r="CF45" i="1" s="1"/>
  <c r="BS45" i="1"/>
  <c r="CG45" i="1" s="1"/>
  <c r="BT45" i="1"/>
  <c r="CH45" i="1" s="1"/>
  <c r="BU45" i="1"/>
  <c r="CI45" i="1" s="1"/>
  <c r="BV45" i="1"/>
  <c r="CJ45" i="1" s="1"/>
  <c r="BW45" i="1"/>
  <c r="CK45" i="1" s="1"/>
  <c r="BX45" i="1"/>
  <c r="CL45" i="1" s="1"/>
  <c r="BY45" i="1"/>
  <c r="CM45" i="1" s="1"/>
  <c r="BZ45" i="1"/>
  <c r="CN45" i="1" s="1"/>
  <c r="CA45" i="1"/>
  <c r="CO45" i="1" s="1"/>
  <c r="BN46" i="1"/>
  <c r="CB46" i="1" s="1"/>
  <c r="BO46" i="1"/>
  <c r="CC46" i="1" s="1"/>
  <c r="BP46" i="1"/>
  <c r="CD46" i="1" s="1"/>
  <c r="BQ46" i="1"/>
  <c r="CE46" i="1" s="1"/>
  <c r="BR46" i="1"/>
  <c r="CF46" i="1" s="1"/>
  <c r="BS46" i="1"/>
  <c r="CG46" i="1" s="1"/>
  <c r="BT46" i="1"/>
  <c r="CH46" i="1" s="1"/>
  <c r="BU46" i="1"/>
  <c r="CI46" i="1" s="1"/>
  <c r="BV46" i="1"/>
  <c r="CJ46" i="1" s="1"/>
  <c r="BW46" i="1"/>
  <c r="CK46" i="1" s="1"/>
  <c r="BX46" i="1"/>
  <c r="CL46" i="1" s="1"/>
  <c r="BY46" i="1"/>
  <c r="CM46" i="1" s="1"/>
  <c r="BZ46" i="1"/>
  <c r="CN46" i="1" s="1"/>
  <c r="CA46" i="1"/>
  <c r="CO46" i="1" s="1"/>
  <c r="BN47" i="1"/>
  <c r="CB47" i="1" s="1"/>
  <c r="BO47" i="1"/>
  <c r="CC47" i="1" s="1"/>
  <c r="BP47" i="1"/>
  <c r="CD47" i="1" s="1"/>
  <c r="BQ47" i="1"/>
  <c r="CE47" i="1" s="1"/>
  <c r="BR47" i="1"/>
  <c r="CF47" i="1" s="1"/>
  <c r="BS47" i="1"/>
  <c r="CG47" i="1" s="1"/>
  <c r="BT47" i="1"/>
  <c r="CH47" i="1" s="1"/>
  <c r="BU47" i="1"/>
  <c r="CI47" i="1" s="1"/>
  <c r="BV47" i="1"/>
  <c r="CJ47" i="1" s="1"/>
  <c r="BW47" i="1"/>
  <c r="CK47" i="1" s="1"/>
  <c r="BX47" i="1"/>
  <c r="CL47" i="1" s="1"/>
  <c r="BY47" i="1"/>
  <c r="CM47" i="1" s="1"/>
  <c r="BZ47" i="1"/>
  <c r="CN47" i="1" s="1"/>
  <c r="CA47" i="1"/>
  <c r="CO47" i="1" s="1"/>
  <c r="BN48" i="1"/>
  <c r="CB48" i="1" s="1"/>
  <c r="BO48" i="1"/>
  <c r="CC48" i="1" s="1"/>
  <c r="BP48" i="1"/>
  <c r="CD48" i="1" s="1"/>
  <c r="BQ48" i="1"/>
  <c r="CE48" i="1" s="1"/>
  <c r="BR48" i="1"/>
  <c r="CF48" i="1" s="1"/>
  <c r="BS48" i="1"/>
  <c r="CG48" i="1" s="1"/>
  <c r="BT48" i="1"/>
  <c r="CH48" i="1" s="1"/>
  <c r="BU48" i="1"/>
  <c r="CI48" i="1" s="1"/>
  <c r="BV48" i="1"/>
  <c r="CJ48" i="1" s="1"/>
  <c r="BW48" i="1"/>
  <c r="CK48" i="1" s="1"/>
  <c r="BX48" i="1"/>
  <c r="CL48" i="1" s="1"/>
  <c r="BY48" i="1"/>
  <c r="CM48" i="1" s="1"/>
  <c r="BZ48" i="1"/>
  <c r="CN48" i="1" s="1"/>
  <c r="CA48" i="1"/>
  <c r="CO48" i="1" s="1"/>
  <c r="BN49" i="1"/>
  <c r="CB49" i="1" s="1"/>
  <c r="BO49" i="1"/>
  <c r="CC49" i="1" s="1"/>
  <c r="BP49" i="1"/>
  <c r="CD49" i="1" s="1"/>
  <c r="BQ49" i="1"/>
  <c r="CE49" i="1" s="1"/>
  <c r="BR49" i="1"/>
  <c r="CF49" i="1" s="1"/>
  <c r="BS49" i="1"/>
  <c r="CG49" i="1" s="1"/>
  <c r="BT49" i="1"/>
  <c r="CH49" i="1" s="1"/>
  <c r="BU49" i="1"/>
  <c r="CI49" i="1" s="1"/>
  <c r="BV49" i="1"/>
  <c r="CJ49" i="1" s="1"/>
  <c r="BW49" i="1"/>
  <c r="CK49" i="1" s="1"/>
  <c r="BX49" i="1"/>
  <c r="CL49" i="1" s="1"/>
  <c r="BY49" i="1"/>
  <c r="CM49" i="1" s="1"/>
  <c r="BZ49" i="1"/>
  <c r="CN49" i="1" s="1"/>
  <c r="CA49" i="1"/>
  <c r="CO49" i="1" s="1"/>
  <c r="BN50" i="1"/>
  <c r="CB50" i="1" s="1"/>
  <c r="BO50" i="1"/>
  <c r="CC50" i="1" s="1"/>
  <c r="BP50" i="1"/>
  <c r="CD50" i="1" s="1"/>
  <c r="BQ50" i="1"/>
  <c r="CE50" i="1" s="1"/>
  <c r="BR50" i="1"/>
  <c r="CF50" i="1" s="1"/>
  <c r="BS50" i="1"/>
  <c r="CG50" i="1" s="1"/>
  <c r="BT50" i="1"/>
  <c r="CH50" i="1" s="1"/>
  <c r="BU50" i="1"/>
  <c r="CI50" i="1" s="1"/>
  <c r="BV50" i="1"/>
  <c r="CJ50" i="1" s="1"/>
  <c r="BW50" i="1"/>
  <c r="CK50" i="1" s="1"/>
  <c r="BX50" i="1"/>
  <c r="CL50" i="1" s="1"/>
  <c r="BY50" i="1"/>
  <c r="CM50" i="1" s="1"/>
  <c r="BZ50" i="1"/>
  <c r="CN50" i="1" s="1"/>
  <c r="CA50" i="1"/>
  <c r="CO50" i="1" s="1"/>
  <c r="BN51" i="1"/>
  <c r="CB51" i="1" s="1"/>
  <c r="BO51" i="1"/>
  <c r="CC51" i="1" s="1"/>
  <c r="BP51" i="1"/>
  <c r="CD51" i="1" s="1"/>
  <c r="BQ51" i="1"/>
  <c r="CE51" i="1" s="1"/>
  <c r="BR51" i="1"/>
  <c r="CF51" i="1" s="1"/>
  <c r="BS51" i="1"/>
  <c r="CG51" i="1" s="1"/>
  <c r="BT51" i="1"/>
  <c r="CH51" i="1" s="1"/>
  <c r="BU51" i="1"/>
  <c r="CI51" i="1" s="1"/>
  <c r="BV51" i="1"/>
  <c r="CJ51" i="1" s="1"/>
  <c r="BW51" i="1"/>
  <c r="CK51" i="1" s="1"/>
  <c r="BX51" i="1"/>
  <c r="CL51" i="1" s="1"/>
  <c r="BY51" i="1"/>
  <c r="CM51" i="1" s="1"/>
  <c r="BZ51" i="1"/>
  <c r="CN51" i="1" s="1"/>
  <c r="CA51" i="1"/>
  <c r="CO51" i="1" s="1"/>
  <c r="BN52" i="1"/>
  <c r="CB52" i="1" s="1"/>
  <c r="BO52" i="1"/>
  <c r="CC52" i="1" s="1"/>
  <c r="BP52" i="1"/>
  <c r="CD52" i="1" s="1"/>
  <c r="BQ52" i="1"/>
  <c r="CE52" i="1" s="1"/>
  <c r="BR52" i="1"/>
  <c r="CF52" i="1" s="1"/>
  <c r="BS52" i="1"/>
  <c r="CG52" i="1" s="1"/>
  <c r="BT52" i="1"/>
  <c r="CH52" i="1" s="1"/>
  <c r="BU52" i="1"/>
  <c r="CI52" i="1" s="1"/>
  <c r="BV52" i="1"/>
  <c r="CJ52" i="1" s="1"/>
  <c r="BW52" i="1"/>
  <c r="CK52" i="1" s="1"/>
  <c r="BX52" i="1"/>
  <c r="CL52" i="1" s="1"/>
  <c r="BY52" i="1"/>
  <c r="CM52" i="1" s="1"/>
  <c r="BZ52" i="1"/>
  <c r="CN52" i="1" s="1"/>
  <c r="CA52" i="1"/>
  <c r="CO52" i="1" s="1"/>
  <c r="BN53" i="1"/>
  <c r="CB53" i="1" s="1"/>
  <c r="BO53" i="1"/>
  <c r="CC53" i="1" s="1"/>
  <c r="BP53" i="1"/>
  <c r="CD53" i="1" s="1"/>
  <c r="BQ53" i="1"/>
  <c r="CE53" i="1" s="1"/>
  <c r="BR53" i="1"/>
  <c r="CF53" i="1" s="1"/>
  <c r="BS53" i="1"/>
  <c r="CG53" i="1" s="1"/>
  <c r="BT53" i="1"/>
  <c r="CH53" i="1" s="1"/>
  <c r="BU53" i="1"/>
  <c r="CI53" i="1" s="1"/>
  <c r="BV53" i="1"/>
  <c r="CJ53" i="1" s="1"/>
  <c r="BW53" i="1"/>
  <c r="CK53" i="1" s="1"/>
  <c r="BX53" i="1"/>
  <c r="CL53" i="1" s="1"/>
  <c r="BY53" i="1"/>
  <c r="CM53" i="1" s="1"/>
  <c r="BZ53" i="1"/>
  <c r="CN53" i="1" s="1"/>
  <c r="CA53" i="1"/>
  <c r="CO53" i="1" s="1"/>
  <c r="BN54" i="1"/>
  <c r="CB54" i="1" s="1"/>
  <c r="BO54" i="1"/>
  <c r="CC54" i="1" s="1"/>
  <c r="BP54" i="1"/>
  <c r="CD54" i="1" s="1"/>
  <c r="BQ54" i="1"/>
  <c r="CE54" i="1" s="1"/>
  <c r="BR54" i="1"/>
  <c r="CF54" i="1" s="1"/>
  <c r="BS54" i="1"/>
  <c r="CG54" i="1" s="1"/>
  <c r="BT54" i="1"/>
  <c r="CH54" i="1" s="1"/>
  <c r="BU54" i="1"/>
  <c r="CI54" i="1" s="1"/>
  <c r="BV54" i="1"/>
  <c r="CJ54" i="1" s="1"/>
  <c r="BW54" i="1"/>
  <c r="CK54" i="1" s="1"/>
  <c r="BX54" i="1"/>
  <c r="CL54" i="1" s="1"/>
  <c r="BY54" i="1"/>
  <c r="CM54" i="1" s="1"/>
  <c r="BZ54" i="1"/>
  <c r="CN54" i="1" s="1"/>
  <c r="CA54" i="1"/>
  <c r="CO54" i="1" s="1"/>
  <c r="BN55" i="1"/>
  <c r="CB55" i="1" s="1"/>
  <c r="BO55" i="1"/>
  <c r="CC55" i="1" s="1"/>
  <c r="BP55" i="1"/>
  <c r="CD55" i="1" s="1"/>
  <c r="BQ55" i="1"/>
  <c r="CE55" i="1" s="1"/>
  <c r="BR55" i="1"/>
  <c r="CF55" i="1" s="1"/>
  <c r="BS55" i="1"/>
  <c r="CG55" i="1" s="1"/>
  <c r="BT55" i="1"/>
  <c r="CH55" i="1" s="1"/>
  <c r="BU55" i="1"/>
  <c r="CI55" i="1" s="1"/>
  <c r="BV55" i="1"/>
  <c r="CJ55" i="1" s="1"/>
  <c r="BW55" i="1"/>
  <c r="CK55" i="1" s="1"/>
  <c r="BX55" i="1"/>
  <c r="CL55" i="1" s="1"/>
  <c r="BY55" i="1"/>
  <c r="CM55" i="1" s="1"/>
  <c r="BZ55" i="1"/>
  <c r="CN55" i="1" s="1"/>
  <c r="CA55" i="1"/>
  <c r="CO55" i="1" s="1"/>
  <c r="BN56" i="1"/>
  <c r="CB56" i="1" s="1"/>
  <c r="BO56" i="1"/>
  <c r="CC56" i="1" s="1"/>
  <c r="BP56" i="1"/>
  <c r="CD56" i="1" s="1"/>
  <c r="BQ56" i="1"/>
  <c r="CE56" i="1" s="1"/>
  <c r="BR56" i="1"/>
  <c r="CF56" i="1" s="1"/>
  <c r="BS56" i="1"/>
  <c r="CG56" i="1" s="1"/>
  <c r="BT56" i="1"/>
  <c r="CH56" i="1" s="1"/>
  <c r="BU56" i="1"/>
  <c r="CI56" i="1" s="1"/>
  <c r="BV56" i="1"/>
  <c r="CJ56" i="1" s="1"/>
  <c r="BW56" i="1"/>
  <c r="CK56" i="1" s="1"/>
  <c r="BX56" i="1"/>
  <c r="CL56" i="1" s="1"/>
  <c r="BY56" i="1"/>
  <c r="CM56" i="1" s="1"/>
  <c r="BZ56" i="1"/>
  <c r="CN56" i="1" s="1"/>
  <c r="CA56" i="1"/>
  <c r="CO56" i="1" s="1"/>
  <c r="BN57" i="1"/>
  <c r="CB57" i="1" s="1"/>
  <c r="BO57" i="1"/>
  <c r="CC57" i="1" s="1"/>
  <c r="BP57" i="1"/>
  <c r="CD57" i="1" s="1"/>
  <c r="BQ57" i="1"/>
  <c r="CE57" i="1" s="1"/>
  <c r="BR57" i="1"/>
  <c r="CF57" i="1" s="1"/>
  <c r="BS57" i="1"/>
  <c r="CG57" i="1" s="1"/>
  <c r="BT57" i="1"/>
  <c r="CH57" i="1" s="1"/>
  <c r="BU57" i="1"/>
  <c r="CI57" i="1" s="1"/>
  <c r="BV57" i="1"/>
  <c r="CJ57" i="1" s="1"/>
  <c r="BW57" i="1"/>
  <c r="CK57" i="1" s="1"/>
  <c r="BX57" i="1"/>
  <c r="CL57" i="1" s="1"/>
  <c r="BY57" i="1"/>
  <c r="CM57" i="1" s="1"/>
  <c r="BZ57" i="1"/>
  <c r="CN57" i="1" s="1"/>
  <c r="CA57" i="1"/>
  <c r="CO57" i="1" s="1"/>
  <c r="BN58" i="1"/>
  <c r="CB58" i="1" s="1"/>
  <c r="BO58" i="1"/>
  <c r="CC58" i="1" s="1"/>
  <c r="BP58" i="1"/>
  <c r="CD58" i="1" s="1"/>
  <c r="BQ58" i="1"/>
  <c r="CE58" i="1" s="1"/>
  <c r="BR58" i="1"/>
  <c r="CF58" i="1" s="1"/>
  <c r="BS58" i="1"/>
  <c r="CG58" i="1" s="1"/>
  <c r="BT58" i="1"/>
  <c r="CH58" i="1" s="1"/>
  <c r="BU58" i="1"/>
  <c r="CI58" i="1" s="1"/>
  <c r="BV58" i="1"/>
  <c r="CJ58" i="1" s="1"/>
  <c r="BW58" i="1"/>
  <c r="CK58" i="1" s="1"/>
  <c r="BX58" i="1"/>
  <c r="CL58" i="1" s="1"/>
  <c r="BY58" i="1"/>
  <c r="CM58" i="1" s="1"/>
  <c r="BZ58" i="1"/>
  <c r="CN58" i="1" s="1"/>
  <c r="CA58" i="1"/>
  <c r="CO58" i="1" s="1"/>
  <c r="BO3" i="1"/>
  <c r="CC3" i="1" s="1"/>
  <c r="BP3" i="1"/>
  <c r="CD3" i="1" s="1"/>
  <c r="BQ3" i="1"/>
  <c r="CE3" i="1" s="1"/>
  <c r="BR3" i="1"/>
  <c r="CF3" i="1" s="1"/>
  <c r="BS3" i="1"/>
  <c r="CG3" i="1" s="1"/>
  <c r="BT3" i="1"/>
  <c r="CH3" i="1" s="1"/>
  <c r="BU3" i="1"/>
  <c r="CI3" i="1" s="1"/>
  <c r="BV3" i="1"/>
  <c r="CJ3" i="1" s="1"/>
  <c r="BW3" i="1"/>
  <c r="CK3" i="1" s="1"/>
  <c r="BX3" i="1"/>
  <c r="CL3" i="1" s="1"/>
  <c r="BY3" i="1"/>
  <c r="CM3" i="1" s="1"/>
  <c r="BZ3" i="1"/>
  <c r="CN3" i="1" s="1"/>
  <c r="CA3" i="1"/>
  <c r="CO3" i="1" s="1"/>
  <c r="BN3" i="1"/>
  <c r="CB3" i="1" s="1"/>
  <c r="T4" i="1"/>
  <c r="T5" i="1"/>
  <c r="T6" i="1"/>
  <c r="X6" i="1" s="1"/>
  <c r="AL6" i="1" s="1"/>
  <c r="T7" i="1"/>
  <c r="AH7" i="1" s="1"/>
  <c r="AV7" i="1" s="1"/>
  <c r="T8" i="1"/>
  <c r="U8" i="1" s="1"/>
  <c r="AI8" i="1" s="1"/>
  <c r="T9" i="1"/>
  <c r="AC9" i="1" s="1"/>
  <c r="AQ9" i="1" s="1"/>
  <c r="T10" i="1"/>
  <c r="AG10" i="1" s="1"/>
  <c r="AU10" i="1" s="1"/>
  <c r="T11" i="1"/>
  <c r="U11" i="1" s="1"/>
  <c r="AI11" i="1" s="1"/>
  <c r="T12" i="1"/>
  <c r="T13" i="1"/>
  <c r="T14" i="1"/>
  <c r="T15" i="1"/>
  <c r="Y15" i="1" s="1"/>
  <c r="AM15" i="1" s="1"/>
  <c r="T16" i="1"/>
  <c r="X16" i="1" s="1"/>
  <c r="AL16" i="1" s="1"/>
  <c r="T17" i="1"/>
  <c r="AC17" i="1" s="1"/>
  <c r="AQ17" i="1" s="1"/>
  <c r="T18" i="1"/>
  <c r="AG18" i="1" s="1"/>
  <c r="AU18" i="1" s="1"/>
  <c r="T19" i="1"/>
  <c r="X19" i="1" s="1"/>
  <c r="AL19" i="1" s="1"/>
  <c r="T20" i="1"/>
  <c r="W20" i="1" s="1"/>
  <c r="AK20" i="1" s="1"/>
  <c r="T21" i="1"/>
  <c r="T22" i="1"/>
  <c r="T23" i="1"/>
  <c r="V23" i="1" s="1"/>
  <c r="AJ23" i="1" s="1"/>
  <c r="T24" i="1"/>
  <c r="U24" i="1" s="1"/>
  <c r="AI24" i="1" s="1"/>
  <c r="T25" i="1"/>
  <c r="W25" i="1" s="1"/>
  <c r="AK25" i="1" s="1"/>
  <c r="T26" i="1"/>
  <c r="T27" i="1"/>
  <c r="T28" i="1"/>
  <c r="T29" i="1"/>
  <c r="T30" i="1"/>
  <c r="T31" i="1"/>
  <c r="Y31" i="1" s="1"/>
  <c r="AM31" i="1" s="1"/>
  <c r="T32" i="1"/>
  <c r="AA32" i="1" s="1"/>
  <c r="AO32" i="1" s="1"/>
  <c r="T33" i="1"/>
  <c r="AC33" i="1" s="1"/>
  <c r="AQ33" i="1" s="1"/>
  <c r="T34" i="1"/>
  <c r="AA34" i="1" s="1"/>
  <c r="AO34" i="1" s="1"/>
  <c r="T35" i="1"/>
  <c r="Y35" i="1" s="1"/>
  <c r="AM35" i="1" s="1"/>
  <c r="T36" i="1"/>
  <c r="X36" i="1" s="1"/>
  <c r="AL36" i="1" s="1"/>
  <c r="T37" i="1"/>
  <c r="T38" i="1"/>
  <c r="T39" i="1"/>
  <c r="AD39" i="1" s="1"/>
  <c r="AR39" i="1" s="1"/>
  <c r="T40" i="1"/>
  <c r="AB40" i="1" s="1"/>
  <c r="AP40" i="1" s="1"/>
  <c r="T41" i="1"/>
  <c r="AB41" i="1" s="1"/>
  <c r="AP41" i="1" s="1"/>
  <c r="T42" i="1"/>
  <c r="T43" i="1"/>
  <c r="T44" i="1"/>
  <c r="T45" i="1"/>
  <c r="T46" i="1"/>
  <c r="T47" i="1"/>
  <c r="U47" i="1" s="1"/>
  <c r="AI47" i="1" s="1"/>
  <c r="T48" i="1"/>
  <c r="AC48" i="1" s="1"/>
  <c r="AQ48" i="1" s="1"/>
  <c r="T49" i="1"/>
  <c r="Y49" i="1" s="1"/>
  <c r="AM49" i="1" s="1"/>
  <c r="T50" i="1"/>
  <c r="V50" i="1" s="1"/>
  <c r="AJ50" i="1" s="1"/>
  <c r="T51" i="1"/>
  <c r="AB51" i="1" s="1"/>
  <c r="AP51" i="1" s="1"/>
  <c r="T52" i="1"/>
  <c r="X52" i="1" s="1"/>
  <c r="AL52" i="1" s="1"/>
  <c r="T53" i="1"/>
  <c r="T54" i="1"/>
  <c r="T55" i="1"/>
  <c r="AC55" i="1" s="1"/>
  <c r="AQ55" i="1" s="1"/>
  <c r="T56" i="1"/>
  <c r="AA56" i="1" s="1"/>
  <c r="AO56" i="1" s="1"/>
  <c r="T57" i="1"/>
  <c r="T58" i="1"/>
  <c r="AB58" i="1" s="1"/>
  <c r="AP58" i="1" s="1"/>
  <c r="T3" i="1"/>
  <c r="V3" i="1" s="1"/>
  <c r="AJ3" i="1" s="1"/>
  <c r="V3" i="5" l="1"/>
  <c r="Q3" i="5"/>
  <c r="J51" i="5"/>
  <c r="G40" i="5"/>
  <c r="N22" i="5"/>
  <c r="T61" i="1"/>
  <c r="I53" i="5"/>
  <c r="N37" i="5"/>
  <c r="O29" i="5"/>
  <c r="K21" i="5"/>
  <c r="N5" i="5"/>
  <c r="O3" i="5"/>
  <c r="H4" i="5"/>
  <c r="L52" i="5"/>
  <c r="O44" i="5"/>
  <c r="N36" i="5"/>
  <c r="J28" i="5"/>
  <c r="H20" i="5"/>
  <c r="N12" i="5"/>
  <c r="N50" i="5"/>
  <c r="N38" i="5"/>
  <c r="O19" i="5"/>
  <c r="E59" i="5"/>
  <c r="K51" i="5"/>
  <c r="G43" i="5"/>
  <c r="K35" i="5"/>
  <c r="G27" i="5"/>
  <c r="K19" i="5"/>
  <c r="G11" i="5"/>
  <c r="O59" i="5"/>
  <c r="E50" i="5"/>
  <c r="O35" i="5"/>
  <c r="O18" i="5"/>
  <c r="L58" i="5"/>
  <c r="L50" i="5"/>
  <c r="F42" i="5"/>
  <c r="F34" i="5"/>
  <c r="N26" i="5"/>
  <c r="F18" i="5"/>
  <c r="N10" i="5"/>
  <c r="L59" i="5"/>
  <c r="P48" i="5"/>
  <c r="O34" i="5"/>
  <c r="K16" i="5"/>
  <c r="J57" i="5"/>
  <c r="E49" i="5"/>
  <c r="G41" i="5"/>
  <c r="K33" i="5"/>
  <c r="F25" i="5"/>
  <c r="K17" i="5"/>
  <c r="O9" i="5"/>
  <c r="I58" i="5"/>
  <c r="G48" i="5"/>
  <c r="K32" i="5"/>
  <c r="J14" i="5"/>
  <c r="L56" i="5"/>
  <c r="L48" i="5"/>
  <c r="N40" i="5"/>
  <c r="G32" i="5"/>
  <c r="N24" i="5"/>
  <c r="G16" i="5"/>
  <c r="J8" i="5"/>
  <c r="O56" i="5"/>
  <c r="J46" i="5"/>
  <c r="K30" i="5"/>
  <c r="K11" i="5"/>
  <c r="L55" i="5"/>
  <c r="F47" i="5"/>
  <c r="K39" i="5"/>
  <c r="F31" i="5"/>
  <c r="K23" i="5"/>
  <c r="F15" i="5"/>
  <c r="F7" i="5"/>
  <c r="F56" i="5"/>
  <c r="J43" i="5"/>
  <c r="H26" i="5"/>
  <c r="O8" i="5"/>
  <c r="L54" i="5"/>
  <c r="O46" i="5"/>
  <c r="H38" i="5"/>
  <c r="O30" i="5"/>
  <c r="H22" i="5"/>
  <c r="N14" i="5"/>
  <c r="N6" i="5"/>
  <c r="H54" i="5"/>
  <c r="G42" i="5"/>
  <c r="G24" i="5"/>
  <c r="G6" i="5"/>
  <c r="G49" i="5"/>
  <c r="G47" i="5"/>
  <c r="K31" i="5"/>
  <c r="F23" i="5"/>
  <c r="N59" i="5"/>
  <c r="I57" i="5"/>
  <c r="G55" i="5"/>
  <c r="G51" i="5"/>
  <c r="F49" i="5"/>
  <c r="K46" i="5"/>
  <c r="O41" i="5"/>
  <c r="P38" i="5"/>
  <c r="N33" i="5"/>
  <c r="G31" i="5"/>
  <c r="O25" i="5"/>
  <c r="P22" i="5"/>
  <c r="N17" i="5"/>
  <c r="G15" i="5"/>
  <c r="F9" i="5"/>
  <c r="E55" i="5"/>
  <c r="G25" i="5"/>
  <c r="L17" i="5"/>
  <c r="F59" i="5"/>
  <c r="N56" i="5"/>
  <c r="K54" i="5"/>
  <c r="M50" i="5"/>
  <c r="J48" i="5"/>
  <c r="G46" i="5"/>
  <c r="F41" i="5"/>
  <c r="F38" i="5"/>
  <c r="J33" i="5"/>
  <c r="J30" i="5"/>
  <c r="F22" i="5"/>
  <c r="J17" i="5"/>
  <c r="G14" i="5"/>
  <c r="K8" i="5"/>
  <c r="L33" i="5"/>
  <c r="K56" i="5"/>
  <c r="J54" i="5"/>
  <c r="J50" i="5"/>
  <c r="I48" i="5"/>
  <c r="J44" i="5"/>
  <c r="O40" i="5"/>
  <c r="P36" i="5"/>
  <c r="N32" i="5"/>
  <c r="G30" i="5"/>
  <c r="O24" i="5"/>
  <c r="P20" i="5"/>
  <c r="N16" i="5"/>
  <c r="N11" i="5"/>
  <c r="N7" i="5"/>
  <c r="K7" i="5"/>
  <c r="K3" i="5"/>
  <c r="H58" i="5"/>
  <c r="E56" i="5"/>
  <c r="H52" i="5"/>
  <c r="O49" i="5"/>
  <c r="L47" i="5"/>
  <c r="F40" i="5"/>
  <c r="N35" i="5"/>
  <c r="H32" i="5"/>
  <c r="J27" i="5"/>
  <c r="F24" i="5"/>
  <c r="N19" i="5"/>
  <c r="H16" i="5"/>
  <c r="G7" i="5"/>
  <c r="I4" i="5"/>
  <c r="L57" i="5"/>
  <c r="N55" i="5"/>
  <c r="M49" i="5"/>
  <c r="K47" i="5"/>
  <c r="H42" i="5"/>
  <c r="N39" i="5"/>
  <c r="L31" i="5"/>
  <c r="N23" i="5"/>
  <c r="L15" i="5"/>
  <c r="J10" i="5"/>
  <c r="J6" i="5"/>
  <c r="K57" i="5"/>
  <c r="I55" i="5"/>
  <c r="F39" i="5"/>
  <c r="K15" i="5"/>
  <c r="O37" i="5"/>
  <c r="O36" i="5"/>
  <c r="G26" i="5"/>
  <c r="O21" i="5"/>
  <c r="O20" i="5"/>
  <c r="O12" i="5"/>
  <c r="G10" i="5"/>
  <c r="E45" i="5"/>
  <c r="M45" i="5"/>
  <c r="H45" i="5"/>
  <c r="P45" i="5"/>
  <c r="I45" i="5"/>
  <c r="E13" i="5"/>
  <c r="M13" i="5"/>
  <c r="H13" i="5"/>
  <c r="P13" i="5"/>
  <c r="I13" i="5"/>
  <c r="L13" i="5"/>
  <c r="K29" i="5"/>
  <c r="I28" i="5"/>
  <c r="L28" i="5"/>
  <c r="E28" i="5"/>
  <c r="M28" i="5"/>
  <c r="J45" i="5"/>
  <c r="H44" i="5"/>
  <c r="N34" i="5"/>
  <c r="J29" i="5"/>
  <c r="H28" i="5"/>
  <c r="N18" i="5"/>
  <c r="H59" i="5"/>
  <c r="P59" i="5"/>
  <c r="H51" i="5"/>
  <c r="P51" i="5"/>
  <c r="E43" i="5"/>
  <c r="M43" i="5"/>
  <c r="H43" i="5"/>
  <c r="P43" i="5"/>
  <c r="I43" i="5"/>
  <c r="E35" i="5"/>
  <c r="M35" i="5"/>
  <c r="H35" i="5"/>
  <c r="P35" i="5"/>
  <c r="I35" i="5"/>
  <c r="E27" i="5"/>
  <c r="M27" i="5"/>
  <c r="H27" i="5"/>
  <c r="P27" i="5"/>
  <c r="I27" i="5"/>
  <c r="E19" i="5"/>
  <c r="M19" i="5"/>
  <c r="H19" i="5"/>
  <c r="P19" i="5"/>
  <c r="I19" i="5"/>
  <c r="E11" i="5"/>
  <c r="M11" i="5"/>
  <c r="H11" i="5"/>
  <c r="P11" i="5"/>
  <c r="I11" i="5"/>
  <c r="L11" i="5"/>
  <c r="E3" i="5"/>
  <c r="N3" i="5"/>
  <c r="K4" i="5"/>
  <c r="M59" i="5"/>
  <c r="P58" i="5"/>
  <c r="G58" i="5"/>
  <c r="M56" i="5"/>
  <c r="O55" i="5"/>
  <c r="F55" i="5"/>
  <c r="I54" i="5"/>
  <c r="L53" i="5"/>
  <c r="O52" i="5"/>
  <c r="F52" i="5"/>
  <c r="I51" i="5"/>
  <c r="K50" i="5"/>
  <c r="N49" i="5"/>
  <c r="H48" i="5"/>
  <c r="J47" i="5"/>
  <c r="H46" i="5"/>
  <c r="G45" i="5"/>
  <c r="G44" i="5"/>
  <c r="F43" i="5"/>
  <c r="P40" i="5"/>
  <c r="O39" i="5"/>
  <c r="O38" i="5"/>
  <c r="L35" i="5"/>
  <c r="K34" i="5"/>
  <c r="J32" i="5"/>
  <c r="J31" i="5"/>
  <c r="H30" i="5"/>
  <c r="G29" i="5"/>
  <c r="G28" i="5"/>
  <c r="F27" i="5"/>
  <c r="F26" i="5"/>
  <c r="P24" i="5"/>
  <c r="O23" i="5"/>
  <c r="O22" i="5"/>
  <c r="N21" i="5"/>
  <c r="N20" i="5"/>
  <c r="L19" i="5"/>
  <c r="K18" i="5"/>
  <c r="J16" i="5"/>
  <c r="J15" i="5"/>
  <c r="F14" i="5"/>
  <c r="J11" i="5"/>
  <c r="F10" i="5"/>
  <c r="N8" i="5"/>
  <c r="J7" i="5"/>
  <c r="F6" i="5"/>
  <c r="E37" i="5"/>
  <c r="M37" i="5"/>
  <c r="H37" i="5"/>
  <c r="P37" i="5"/>
  <c r="I37" i="5"/>
  <c r="F13" i="5"/>
  <c r="I36" i="5"/>
  <c r="L36" i="5"/>
  <c r="E36" i="5"/>
  <c r="M36" i="5"/>
  <c r="I12" i="5"/>
  <c r="L12" i="5"/>
  <c r="E12" i="5"/>
  <c r="M12" i="5"/>
  <c r="H12" i="5"/>
  <c r="P12" i="5"/>
  <c r="P3" i="5"/>
  <c r="M53" i="5"/>
  <c r="P52" i="5"/>
  <c r="G52" i="5"/>
  <c r="I42" i="5"/>
  <c r="L42" i="5"/>
  <c r="E42" i="5"/>
  <c r="M42" i="5"/>
  <c r="O58" i="5"/>
  <c r="F58" i="5"/>
  <c r="F45" i="5"/>
  <c r="F44" i="5"/>
  <c r="P42" i="5"/>
  <c r="L37" i="5"/>
  <c r="K36" i="5"/>
  <c r="O5" i="5"/>
  <c r="H57" i="5"/>
  <c r="P57" i="5"/>
  <c r="H49" i="5"/>
  <c r="P49" i="5"/>
  <c r="E41" i="5"/>
  <c r="M41" i="5"/>
  <c r="H41" i="5"/>
  <c r="P41" i="5"/>
  <c r="I41" i="5"/>
  <c r="E33" i="5"/>
  <c r="M33" i="5"/>
  <c r="H33" i="5"/>
  <c r="P33" i="5"/>
  <c r="I33" i="5"/>
  <c r="E25" i="5"/>
  <c r="M25" i="5"/>
  <c r="H25" i="5"/>
  <c r="P25" i="5"/>
  <c r="I25" i="5"/>
  <c r="E17" i="5"/>
  <c r="M17" i="5"/>
  <c r="H17" i="5"/>
  <c r="P17" i="5"/>
  <c r="I17" i="5"/>
  <c r="E9" i="5"/>
  <c r="M9" i="5"/>
  <c r="H9" i="5"/>
  <c r="P9" i="5"/>
  <c r="I9" i="5"/>
  <c r="L9" i="5"/>
  <c r="I3" i="5"/>
  <c r="L3" i="5"/>
  <c r="O4" i="5"/>
  <c r="K59" i="5"/>
  <c r="N58" i="5"/>
  <c r="E58" i="5"/>
  <c r="G57" i="5"/>
  <c r="J56" i="5"/>
  <c r="M55" i="5"/>
  <c r="P54" i="5"/>
  <c r="G54" i="5"/>
  <c r="J53" i="5"/>
  <c r="M52" i="5"/>
  <c r="O51" i="5"/>
  <c r="F51" i="5"/>
  <c r="I50" i="5"/>
  <c r="L49" i="5"/>
  <c r="O48" i="5"/>
  <c r="F48" i="5"/>
  <c r="F46" i="5"/>
  <c r="P44" i="5"/>
  <c r="O43" i="5"/>
  <c r="O42" i="5"/>
  <c r="N41" i="5"/>
  <c r="L39" i="5"/>
  <c r="K38" i="5"/>
  <c r="K37" i="5"/>
  <c r="J36" i="5"/>
  <c r="J35" i="5"/>
  <c r="H34" i="5"/>
  <c r="G33" i="5"/>
  <c r="F30" i="5"/>
  <c r="P28" i="5"/>
  <c r="O27" i="5"/>
  <c r="O26" i="5"/>
  <c r="N25" i="5"/>
  <c r="L23" i="5"/>
  <c r="K22" i="5"/>
  <c r="J20" i="5"/>
  <c r="J19" i="5"/>
  <c r="H18" i="5"/>
  <c r="G17" i="5"/>
  <c r="N13" i="5"/>
  <c r="J12" i="5"/>
  <c r="F11" i="5"/>
  <c r="N9" i="5"/>
  <c r="E21" i="5"/>
  <c r="M21" i="5"/>
  <c r="H21" i="5"/>
  <c r="P21" i="5"/>
  <c r="I21" i="5"/>
  <c r="E5" i="5"/>
  <c r="M5" i="5"/>
  <c r="G5" i="5"/>
  <c r="H5" i="5"/>
  <c r="P5" i="5"/>
  <c r="I5" i="5"/>
  <c r="L5" i="5"/>
  <c r="J34" i="5"/>
  <c r="F29" i="5"/>
  <c r="F28" i="5"/>
  <c r="P26" i="5"/>
  <c r="L21" i="5"/>
  <c r="K20" i="5"/>
  <c r="O13" i="5"/>
  <c r="K12" i="5"/>
  <c r="I40" i="5"/>
  <c r="L40" i="5"/>
  <c r="E40" i="5"/>
  <c r="M40" i="5"/>
  <c r="I32" i="5"/>
  <c r="L32" i="5"/>
  <c r="E32" i="5"/>
  <c r="M32" i="5"/>
  <c r="I24" i="5"/>
  <c r="L24" i="5"/>
  <c r="E24" i="5"/>
  <c r="M24" i="5"/>
  <c r="I16" i="5"/>
  <c r="L16" i="5"/>
  <c r="E16" i="5"/>
  <c r="M16" i="5"/>
  <c r="I8" i="5"/>
  <c r="L8" i="5"/>
  <c r="E8" i="5"/>
  <c r="M8" i="5"/>
  <c r="H8" i="5"/>
  <c r="P8" i="5"/>
  <c r="H3" i="5"/>
  <c r="E4" i="5"/>
  <c r="N4" i="5"/>
  <c r="J59" i="5"/>
  <c r="M58" i="5"/>
  <c r="O57" i="5"/>
  <c r="F57" i="5"/>
  <c r="I56" i="5"/>
  <c r="O54" i="5"/>
  <c r="F54" i="5"/>
  <c r="K52" i="5"/>
  <c r="N51" i="5"/>
  <c r="E51" i="5"/>
  <c r="H50" i="5"/>
  <c r="K49" i="5"/>
  <c r="N48" i="5"/>
  <c r="E48" i="5"/>
  <c r="P46" i="5"/>
  <c r="O45" i="5"/>
  <c r="N43" i="5"/>
  <c r="N42" i="5"/>
  <c r="L41" i="5"/>
  <c r="K40" i="5"/>
  <c r="J38" i="5"/>
  <c r="J37" i="5"/>
  <c r="H36" i="5"/>
  <c r="G35" i="5"/>
  <c r="G34" i="5"/>
  <c r="F33" i="5"/>
  <c r="F32" i="5"/>
  <c r="P30" i="5"/>
  <c r="O28" i="5"/>
  <c r="N27" i="5"/>
  <c r="L25" i="5"/>
  <c r="K24" i="5"/>
  <c r="J22" i="5"/>
  <c r="J21" i="5"/>
  <c r="G19" i="5"/>
  <c r="G18" i="5"/>
  <c r="F17" i="5"/>
  <c r="F16" i="5"/>
  <c r="O14" i="5"/>
  <c r="K13" i="5"/>
  <c r="G12" i="5"/>
  <c r="O10" i="5"/>
  <c r="K9" i="5"/>
  <c r="G8" i="5"/>
  <c r="O6" i="5"/>
  <c r="K5" i="5"/>
  <c r="H53" i="5"/>
  <c r="P53" i="5"/>
  <c r="E29" i="5"/>
  <c r="M29" i="5"/>
  <c r="H29" i="5"/>
  <c r="P29" i="5"/>
  <c r="I29" i="5"/>
  <c r="I44" i="5"/>
  <c r="L44" i="5"/>
  <c r="E44" i="5"/>
  <c r="M44" i="5"/>
  <c r="I20" i="5"/>
  <c r="L20" i="5"/>
  <c r="E20" i="5"/>
  <c r="M20" i="5"/>
  <c r="G4" i="5"/>
  <c r="I26" i="5"/>
  <c r="L26" i="5"/>
  <c r="E26" i="5"/>
  <c r="M26" i="5"/>
  <c r="K53" i="5"/>
  <c r="N52" i="5"/>
  <c r="E52" i="5"/>
  <c r="J18" i="5"/>
  <c r="H55" i="5"/>
  <c r="P55" i="5"/>
  <c r="E47" i="5"/>
  <c r="M47" i="5"/>
  <c r="H47" i="5"/>
  <c r="P47" i="5"/>
  <c r="I47" i="5"/>
  <c r="E39" i="5"/>
  <c r="M39" i="5"/>
  <c r="H39" i="5"/>
  <c r="P39" i="5"/>
  <c r="I39" i="5"/>
  <c r="E31" i="5"/>
  <c r="M31" i="5"/>
  <c r="H31" i="5"/>
  <c r="P31" i="5"/>
  <c r="I31" i="5"/>
  <c r="E23" i="5"/>
  <c r="M23" i="5"/>
  <c r="H23" i="5"/>
  <c r="P23" i="5"/>
  <c r="I23" i="5"/>
  <c r="E15" i="5"/>
  <c r="M15" i="5"/>
  <c r="H15" i="5"/>
  <c r="P15" i="5"/>
  <c r="I15" i="5"/>
  <c r="E7" i="5"/>
  <c r="M7" i="5"/>
  <c r="H7" i="5"/>
  <c r="P7" i="5"/>
  <c r="I7" i="5"/>
  <c r="L7" i="5"/>
  <c r="G3" i="5"/>
  <c r="F4" i="5"/>
  <c r="M4" i="5"/>
  <c r="I59" i="5"/>
  <c r="K58" i="5"/>
  <c r="N57" i="5"/>
  <c r="E57" i="5"/>
  <c r="H56" i="5"/>
  <c r="K55" i="5"/>
  <c r="N54" i="5"/>
  <c r="E54" i="5"/>
  <c r="G53" i="5"/>
  <c r="J52" i="5"/>
  <c r="M51" i="5"/>
  <c r="P50" i="5"/>
  <c r="G50" i="5"/>
  <c r="J49" i="5"/>
  <c r="M48" i="5"/>
  <c r="O47" i="5"/>
  <c r="N45" i="5"/>
  <c r="N44" i="5"/>
  <c r="L43" i="5"/>
  <c r="K42" i="5"/>
  <c r="K41" i="5"/>
  <c r="J40" i="5"/>
  <c r="J39" i="5"/>
  <c r="G37" i="5"/>
  <c r="G36" i="5"/>
  <c r="F35" i="5"/>
  <c r="P32" i="5"/>
  <c r="O31" i="5"/>
  <c r="N29" i="5"/>
  <c r="N28" i="5"/>
  <c r="L27" i="5"/>
  <c r="K26" i="5"/>
  <c r="K25" i="5"/>
  <c r="J24" i="5"/>
  <c r="J23" i="5"/>
  <c r="G21" i="5"/>
  <c r="G20" i="5"/>
  <c r="F19" i="5"/>
  <c r="P16" i="5"/>
  <c r="O15" i="5"/>
  <c r="J13" i="5"/>
  <c r="F12" i="5"/>
  <c r="J9" i="5"/>
  <c r="F8" i="5"/>
  <c r="J5" i="5"/>
  <c r="N53" i="5"/>
  <c r="E53" i="5"/>
  <c r="K45" i="5"/>
  <c r="I34" i="5"/>
  <c r="L34" i="5"/>
  <c r="E34" i="5"/>
  <c r="M34" i="5"/>
  <c r="I18" i="5"/>
  <c r="L18" i="5"/>
  <c r="E18" i="5"/>
  <c r="M18" i="5"/>
  <c r="I10" i="5"/>
  <c r="L10" i="5"/>
  <c r="E10" i="5"/>
  <c r="M10" i="5"/>
  <c r="H10" i="5"/>
  <c r="P10" i="5"/>
  <c r="J3" i="5"/>
  <c r="M3" i="5"/>
  <c r="P4" i="5"/>
  <c r="I46" i="5"/>
  <c r="L46" i="5"/>
  <c r="E46" i="5"/>
  <c r="M46" i="5"/>
  <c r="I38" i="5"/>
  <c r="L38" i="5"/>
  <c r="E38" i="5"/>
  <c r="M38" i="5"/>
  <c r="I30" i="5"/>
  <c r="L30" i="5"/>
  <c r="E30" i="5"/>
  <c r="M30" i="5"/>
  <c r="I22" i="5"/>
  <c r="L22" i="5"/>
  <c r="E22" i="5"/>
  <c r="M22" i="5"/>
  <c r="I14" i="5"/>
  <c r="L14" i="5"/>
  <c r="E14" i="5"/>
  <c r="M14" i="5"/>
  <c r="H14" i="5"/>
  <c r="P14" i="5"/>
  <c r="I6" i="5"/>
  <c r="L6" i="5"/>
  <c r="E6" i="5"/>
  <c r="M6" i="5"/>
  <c r="H6" i="5"/>
  <c r="P6" i="5"/>
  <c r="F3" i="5"/>
  <c r="J4" i="5"/>
  <c r="L4" i="5"/>
  <c r="G59" i="5"/>
  <c r="J58" i="5"/>
  <c r="M57" i="5"/>
  <c r="P56" i="5"/>
  <c r="G56" i="5"/>
  <c r="J55" i="5"/>
  <c r="M54" i="5"/>
  <c r="O53" i="5"/>
  <c r="F53" i="5"/>
  <c r="I52" i="5"/>
  <c r="L51" i="5"/>
  <c r="O50" i="5"/>
  <c r="F50" i="5"/>
  <c r="I49" i="5"/>
  <c r="K48" i="5"/>
  <c r="N47" i="5"/>
  <c r="N46" i="5"/>
  <c r="L45" i="5"/>
  <c r="K44" i="5"/>
  <c r="K43" i="5"/>
  <c r="J42" i="5"/>
  <c r="J41" i="5"/>
  <c r="H40" i="5"/>
  <c r="G39" i="5"/>
  <c r="G38" i="5"/>
  <c r="F37" i="5"/>
  <c r="F36" i="5"/>
  <c r="P34" i="5"/>
  <c r="O33" i="5"/>
  <c r="O32" i="5"/>
  <c r="N31" i="5"/>
  <c r="N30" i="5"/>
  <c r="L29" i="5"/>
  <c r="K28" i="5"/>
  <c r="K27" i="5"/>
  <c r="J26" i="5"/>
  <c r="J25" i="5"/>
  <c r="H24" i="5"/>
  <c r="G23" i="5"/>
  <c r="G22" i="5"/>
  <c r="F21" i="5"/>
  <c r="F20" i="5"/>
  <c r="P18" i="5"/>
  <c r="O17" i="5"/>
  <c r="O16" i="5"/>
  <c r="N15" i="5"/>
  <c r="K14" i="5"/>
  <c r="G13" i="5"/>
  <c r="O11" i="5"/>
  <c r="K10" i="5"/>
  <c r="G9" i="5"/>
  <c r="O7" i="5"/>
  <c r="K6" i="5"/>
  <c r="F5" i="5"/>
  <c r="Y44" i="1"/>
  <c r="AM44" i="1" s="1"/>
  <c r="AG44" i="1"/>
  <c r="AU44" i="1" s="1"/>
  <c r="AC44" i="1"/>
  <c r="AQ44" i="1" s="1"/>
  <c r="Y28" i="1"/>
  <c r="AM28" i="1" s="1"/>
  <c r="AG28" i="1"/>
  <c r="AU28" i="1" s="1"/>
  <c r="V28" i="1"/>
  <c r="AJ28" i="1" s="1"/>
  <c r="AE28" i="1"/>
  <c r="AS28" i="1" s="1"/>
  <c r="W28" i="1"/>
  <c r="AK28" i="1" s="1"/>
  <c r="AF28" i="1"/>
  <c r="AT28" i="1" s="1"/>
  <c r="X28" i="1"/>
  <c r="AL28" i="1" s="1"/>
  <c r="AH28" i="1"/>
  <c r="AV28" i="1" s="1"/>
  <c r="Y12" i="1"/>
  <c r="AM12" i="1" s="1"/>
  <c r="AG12" i="1"/>
  <c r="AU12" i="1" s="1"/>
  <c r="AA12" i="1"/>
  <c r="AO12" i="1" s="1"/>
  <c r="AB12" i="1"/>
  <c r="AP12" i="1" s="1"/>
  <c r="AC12" i="1"/>
  <c r="AQ12" i="1" s="1"/>
  <c r="U12" i="1"/>
  <c r="AI12" i="1" s="1"/>
  <c r="AD12" i="1"/>
  <c r="AR12" i="1" s="1"/>
  <c r="V12" i="1"/>
  <c r="AJ12" i="1" s="1"/>
  <c r="AE12" i="1"/>
  <c r="AS12" i="1" s="1"/>
  <c r="W43" i="1"/>
  <c r="AK43" i="1" s="1"/>
  <c r="AE43" i="1"/>
  <c r="AS43" i="1" s="1"/>
  <c r="X43" i="1"/>
  <c r="AL43" i="1" s="1"/>
  <c r="AG43" i="1"/>
  <c r="AU43" i="1" s="1"/>
  <c r="Y43" i="1"/>
  <c r="AM43" i="1" s="1"/>
  <c r="AH43" i="1"/>
  <c r="AV43" i="1" s="1"/>
  <c r="W27" i="1"/>
  <c r="AK27" i="1" s="1"/>
  <c r="AE27" i="1"/>
  <c r="AS27" i="1" s="1"/>
  <c r="AA27" i="1"/>
  <c r="AO27" i="1" s="1"/>
  <c r="AB27" i="1"/>
  <c r="AP27" i="1" s="1"/>
  <c r="AC27" i="1"/>
  <c r="AQ27" i="1" s="1"/>
  <c r="U42" i="1"/>
  <c r="AI42" i="1" s="1"/>
  <c r="AC42" i="1"/>
  <c r="AQ42" i="1" s="1"/>
  <c r="AB42" i="1"/>
  <c r="AP42" i="1" s="1"/>
  <c r="AD42" i="1"/>
  <c r="AR42" i="1" s="1"/>
  <c r="U26" i="1"/>
  <c r="AI26" i="1" s="1"/>
  <c r="AC26" i="1"/>
  <c r="AQ26" i="1" s="1"/>
  <c r="W26" i="1"/>
  <c r="AK26" i="1" s="1"/>
  <c r="AF26" i="1"/>
  <c r="AT26" i="1" s="1"/>
  <c r="X26" i="1"/>
  <c r="AL26" i="1" s="1"/>
  <c r="AG26" i="1"/>
  <c r="AU26" i="1" s="1"/>
  <c r="Y26" i="1"/>
  <c r="AM26" i="1" s="1"/>
  <c r="AH26" i="1"/>
  <c r="AV26" i="1" s="1"/>
  <c r="U57" i="1"/>
  <c r="AI57" i="1" s="1"/>
  <c r="AC57" i="1"/>
  <c r="AQ57" i="1" s="1"/>
  <c r="W54" i="1"/>
  <c r="AK54" i="1" s="1"/>
  <c r="AE54" i="1"/>
  <c r="AS54" i="1" s="1"/>
  <c r="U46" i="1"/>
  <c r="AI46" i="1" s="1"/>
  <c r="AC46" i="1"/>
  <c r="AQ46" i="1" s="1"/>
  <c r="AB46" i="1"/>
  <c r="AP46" i="1" s="1"/>
  <c r="U38" i="1"/>
  <c r="AI38" i="1" s="1"/>
  <c r="AC38" i="1"/>
  <c r="AQ38" i="1" s="1"/>
  <c r="AD38" i="1"/>
  <c r="AR38" i="1" s="1"/>
  <c r="V38" i="1"/>
  <c r="AJ38" i="1" s="1"/>
  <c r="AE38" i="1"/>
  <c r="AS38" i="1" s="1"/>
  <c r="U30" i="1"/>
  <c r="AI30" i="1" s="1"/>
  <c r="AC30" i="1"/>
  <c r="AQ30" i="1" s="1"/>
  <c r="V30" i="1"/>
  <c r="AJ30" i="1" s="1"/>
  <c r="AE30" i="1"/>
  <c r="AS30" i="1" s="1"/>
  <c r="W30" i="1"/>
  <c r="AK30" i="1" s="1"/>
  <c r="AF30" i="1"/>
  <c r="AT30" i="1" s="1"/>
  <c r="X30" i="1"/>
  <c r="AL30" i="1" s="1"/>
  <c r="AG30" i="1"/>
  <c r="AU30" i="1" s="1"/>
  <c r="U22" i="1"/>
  <c r="AI22" i="1" s="1"/>
  <c r="AC22" i="1"/>
  <c r="AQ22" i="1" s="1"/>
  <c r="X22" i="1"/>
  <c r="AL22" i="1" s="1"/>
  <c r="AG22" i="1"/>
  <c r="AU22" i="1" s="1"/>
  <c r="Y22" i="1"/>
  <c r="AM22" i="1" s="1"/>
  <c r="AH22" i="1"/>
  <c r="AV22" i="1" s="1"/>
  <c r="Z22" i="1"/>
  <c r="AN22" i="1" s="1"/>
  <c r="AB22" i="1"/>
  <c r="AP22" i="1" s="1"/>
  <c r="U14" i="1"/>
  <c r="AI14" i="1" s="1"/>
  <c r="AC14" i="1"/>
  <c r="AQ14" i="1" s="1"/>
  <c r="Z14" i="1"/>
  <c r="AN14" i="1" s="1"/>
  <c r="AA14" i="1"/>
  <c r="AO14" i="1" s="1"/>
  <c r="AB14" i="1"/>
  <c r="AP14" i="1" s="1"/>
  <c r="V14" i="1"/>
  <c r="AJ14" i="1" s="1"/>
  <c r="AE14" i="1"/>
  <c r="AS14" i="1" s="1"/>
  <c r="U53" i="1"/>
  <c r="AI53" i="1" s="1"/>
  <c r="AC53" i="1"/>
  <c r="AQ53" i="1" s="1"/>
  <c r="AA45" i="1"/>
  <c r="AO45" i="1" s="1"/>
  <c r="X45" i="1"/>
  <c r="AL45" i="1" s="1"/>
  <c r="AG45" i="1"/>
  <c r="AU45" i="1" s="1"/>
  <c r="AA37" i="1"/>
  <c r="AO37" i="1" s="1"/>
  <c r="Y37" i="1"/>
  <c r="AM37" i="1" s="1"/>
  <c r="AH37" i="1"/>
  <c r="AV37" i="1" s="1"/>
  <c r="Z37" i="1"/>
  <c r="AN37" i="1" s="1"/>
  <c r="AA29" i="1"/>
  <c r="AO29" i="1" s="1"/>
  <c r="Z29" i="1"/>
  <c r="AN29" i="1" s="1"/>
  <c r="AB29" i="1"/>
  <c r="AP29" i="1" s="1"/>
  <c r="AC29" i="1"/>
  <c r="AQ29" i="1" s="1"/>
  <c r="AA21" i="1"/>
  <c r="AO21" i="1" s="1"/>
  <c r="AC21" i="1"/>
  <c r="AQ21" i="1" s="1"/>
  <c r="U21" i="1"/>
  <c r="AI21" i="1" s="1"/>
  <c r="AD21" i="1"/>
  <c r="AR21" i="1" s="1"/>
  <c r="V21" i="1"/>
  <c r="AJ21" i="1" s="1"/>
  <c r="AE21" i="1"/>
  <c r="AS21" i="1" s="1"/>
  <c r="X21" i="1"/>
  <c r="AL21" i="1" s="1"/>
  <c r="AG21" i="1"/>
  <c r="AU21" i="1" s="1"/>
  <c r="AA13" i="1"/>
  <c r="AO13" i="1" s="1"/>
  <c r="V13" i="1"/>
  <c r="AJ13" i="1" s="1"/>
  <c r="AE13" i="1"/>
  <c r="AS13" i="1" s="1"/>
  <c r="W13" i="1"/>
  <c r="AK13" i="1" s="1"/>
  <c r="AF13" i="1"/>
  <c r="AT13" i="1" s="1"/>
  <c r="X13" i="1"/>
  <c r="AL13" i="1" s="1"/>
  <c r="AG13" i="1"/>
  <c r="AU13" i="1" s="1"/>
  <c r="Y13" i="1"/>
  <c r="AM13" i="1" s="1"/>
  <c r="AH13" i="1"/>
  <c r="AV13" i="1" s="1"/>
  <c r="Z13" i="1"/>
  <c r="AN13" i="1" s="1"/>
  <c r="AA5" i="1"/>
  <c r="AO5" i="1" s="1"/>
  <c r="AB5" i="1"/>
  <c r="AP5" i="1" s="1"/>
  <c r="U5" i="1"/>
  <c r="AI5" i="1" s="1"/>
  <c r="AC5" i="1"/>
  <c r="AQ5" i="1" s="1"/>
  <c r="Y5" i="1"/>
  <c r="AM5" i="1" s="1"/>
  <c r="Z5" i="1"/>
  <c r="AN5" i="1" s="1"/>
  <c r="AD5" i="1"/>
  <c r="AR5" i="1" s="1"/>
  <c r="AE5" i="1"/>
  <c r="AS5" i="1" s="1"/>
  <c r="AF5" i="1"/>
  <c r="AT5" i="1" s="1"/>
  <c r="AC3" i="1"/>
  <c r="AQ3" i="1" s="1"/>
  <c r="AH58" i="1"/>
  <c r="AV58" i="1" s="1"/>
  <c r="X58" i="1"/>
  <c r="AL58" i="1" s="1"/>
  <c r="AH57" i="1"/>
  <c r="AV57" i="1" s="1"/>
  <c r="Y57" i="1"/>
  <c r="AM57" i="1" s="1"/>
  <c r="AD56" i="1"/>
  <c r="AR56" i="1" s="1"/>
  <c r="U56" i="1"/>
  <c r="AI56" i="1" s="1"/>
  <c r="Z55" i="1"/>
  <c r="AN55" i="1" s="1"/>
  <c r="AD54" i="1"/>
  <c r="AR54" i="1" s="1"/>
  <c r="U54" i="1"/>
  <c r="AI54" i="1" s="1"/>
  <c r="Z53" i="1"/>
  <c r="AN53" i="1" s="1"/>
  <c r="AE52" i="1"/>
  <c r="AS52" i="1" s="1"/>
  <c r="U52" i="1"/>
  <c r="AI52" i="1" s="1"/>
  <c r="Y51" i="1"/>
  <c r="AM51" i="1" s="1"/>
  <c r="AB50" i="1"/>
  <c r="AP50" i="1" s="1"/>
  <c r="AE49" i="1"/>
  <c r="AS49" i="1" s="1"/>
  <c r="U49" i="1"/>
  <c r="AI49" i="1" s="1"/>
  <c r="X48" i="1"/>
  <c r="AL48" i="1" s="1"/>
  <c r="AB47" i="1"/>
  <c r="AP47" i="1" s="1"/>
  <c r="AF46" i="1"/>
  <c r="AT46" i="1" s="1"/>
  <c r="V46" i="1"/>
  <c r="AJ46" i="1" s="1"/>
  <c r="Y45" i="1"/>
  <c r="AM45" i="1" s="1"/>
  <c r="AB44" i="1"/>
  <c r="AP44" i="1" s="1"/>
  <c r="AD43" i="1"/>
  <c r="AR43" i="1" s="1"/>
  <c r="AG42" i="1"/>
  <c r="AU42" i="1" s="1"/>
  <c r="V42" i="1"/>
  <c r="AJ42" i="1" s="1"/>
  <c r="V41" i="1"/>
  <c r="AJ41" i="1" s="1"/>
  <c r="X40" i="1"/>
  <c r="AL40" i="1" s="1"/>
  <c r="AA39" i="1"/>
  <c r="AO39" i="1" s="1"/>
  <c r="AA38" i="1"/>
  <c r="AO38" i="1" s="1"/>
  <c r="AD37" i="1"/>
  <c r="AR37" i="1" s="1"/>
  <c r="AF36" i="1"/>
  <c r="AT36" i="1" s="1"/>
  <c r="AG35" i="1"/>
  <c r="AU35" i="1" s="1"/>
  <c r="U35" i="1"/>
  <c r="AI35" i="1" s="1"/>
  <c r="X34" i="1"/>
  <c r="AL34" i="1" s="1"/>
  <c r="V33" i="1"/>
  <c r="AJ33" i="1" s="1"/>
  <c r="AH31" i="1"/>
  <c r="AV31" i="1" s="1"/>
  <c r="U31" i="1"/>
  <c r="AI31" i="1" s="1"/>
  <c r="AG29" i="1"/>
  <c r="AU29" i="1" s="1"/>
  <c r="U29" i="1"/>
  <c r="AI29" i="1" s="1"/>
  <c r="AG27" i="1"/>
  <c r="AU27" i="1" s="1"/>
  <c r="AE26" i="1"/>
  <c r="AS26" i="1" s="1"/>
  <c r="AF25" i="1"/>
  <c r="AT25" i="1" s="1"/>
  <c r="AD24" i="1"/>
  <c r="AR24" i="1" s="1"/>
  <c r="AF23" i="1"/>
  <c r="AT23" i="1" s="1"/>
  <c r="AA22" i="1"/>
  <c r="AO22" i="1" s="1"/>
  <c r="W21" i="1"/>
  <c r="AK21" i="1" s="1"/>
  <c r="AG19" i="1"/>
  <c r="AU19" i="1" s="1"/>
  <c r="AB18" i="1"/>
  <c r="AP18" i="1" s="1"/>
  <c r="X17" i="1"/>
  <c r="AL17" i="1" s="1"/>
  <c r="AH15" i="1"/>
  <c r="AV15" i="1" s="1"/>
  <c r="AD14" i="1"/>
  <c r="AR14" i="1" s="1"/>
  <c r="AH12" i="1"/>
  <c r="AV12" i="1" s="1"/>
  <c r="AH6" i="1"/>
  <c r="AV6" i="1" s="1"/>
  <c r="U4" i="1"/>
  <c r="AI4" i="1" s="1"/>
  <c r="V4" i="1"/>
  <c r="AJ4" i="1" s="1"/>
  <c r="W4" i="1"/>
  <c r="AK4" i="1" s="1"/>
  <c r="X4" i="1"/>
  <c r="AL4" i="1" s="1"/>
  <c r="Y4" i="1"/>
  <c r="AM4" i="1" s="1"/>
  <c r="AG4" i="1"/>
  <c r="AU4" i="1" s="1"/>
  <c r="Z4" i="1"/>
  <c r="AN4" i="1" s="1"/>
  <c r="AH4" i="1"/>
  <c r="AV4" i="1" s="1"/>
  <c r="AA4" i="1"/>
  <c r="AO4" i="1" s="1"/>
  <c r="AB4" i="1"/>
  <c r="AP4" i="1" s="1"/>
  <c r="AC4" i="1"/>
  <c r="AQ4" i="1" s="1"/>
  <c r="AD4" i="1"/>
  <c r="AR4" i="1" s="1"/>
  <c r="AE4" i="1"/>
  <c r="AS4" i="1" s="1"/>
  <c r="AF4" i="1"/>
  <c r="AT4" i="1" s="1"/>
  <c r="AB3" i="1"/>
  <c r="AP3" i="1" s="1"/>
  <c r="AF58" i="1"/>
  <c r="AT58" i="1" s="1"/>
  <c r="W58" i="1"/>
  <c r="AK58" i="1" s="1"/>
  <c r="AG57" i="1"/>
  <c r="AU57" i="1" s="1"/>
  <c r="X57" i="1"/>
  <c r="AL57" i="1" s="1"/>
  <c r="AC56" i="1"/>
  <c r="AQ56" i="1" s="1"/>
  <c r="AH55" i="1"/>
  <c r="AV55" i="1" s="1"/>
  <c r="X55" i="1"/>
  <c r="AL55" i="1" s="1"/>
  <c r="AC54" i="1"/>
  <c r="AQ54" i="1" s="1"/>
  <c r="AH53" i="1"/>
  <c r="AV53" i="1" s="1"/>
  <c r="Y53" i="1"/>
  <c r="AM53" i="1" s="1"/>
  <c r="AD52" i="1"/>
  <c r="AR52" i="1" s="1"/>
  <c r="AH51" i="1"/>
  <c r="AV51" i="1" s="1"/>
  <c r="X51" i="1"/>
  <c r="AL51" i="1" s="1"/>
  <c r="Z50" i="1"/>
  <c r="AN50" i="1" s="1"/>
  <c r="AD49" i="1"/>
  <c r="AR49" i="1" s="1"/>
  <c r="AH48" i="1"/>
  <c r="AV48" i="1" s="1"/>
  <c r="W48" i="1"/>
  <c r="AK48" i="1" s="1"/>
  <c r="AA47" i="1"/>
  <c r="AO47" i="1" s="1"/>
  <c r="AE46" i="1"/>
  <c r="AS46" i="1" s="1"/>
  <c r="AH45" i="1"/>
  <c r="AV45" i="1" s="1"/>
  <c r="W45" i="1"/>
  <c r="AK45" i="1" s="1"/>
  <c r="AA44" i="1"/>
  <c r="AO44" i="1" s="1"/>
  <c r="AC43" i="1"/>
  <c r="AQ43" i="1" s="1"/>
  <c r="AF42" i="1"/>
  <c r="AT42" i="1" s="1"/>
  <c r="AF41" i="1"/>
  <c r="AT41" i="1" s="1"/>
  <c r="U41" i="1"/>
  <c r="AI41" i="1" s="1"/>
  <c r="W40" i="1"/>
  <c r="AK40" i="1" s="1"/>
  <c r="X39" i="1"/>
  <c r="AL39" i="1" s="1"/>
  <c r="Z38" i="1"/>
  <c r="AN38" i="1" s="1"/>
  <c r="AC37" i="1"/>
  <c r="AQ37" i="1" s="1"/>
  <c r="AC36" i="1"/>
  <c r="AQ36" i="1" s="1"/>
  <c r="AF35" i="1"/>
  <c r="AT35" i="1" s="1"/>
  <c r="AH34" i="1"/>
  <c r="AV34" i="1" s="1"/>
  <c r="AG33" i="1"/>
  <c r="AU33" i="1" s="1"/>
  <c r="U33" i="1"/>
  <c r="AI33" i="1" s="1"/>
  <c r="AG31" i="1"/>
  <c r="AU31" i="1" s="1"/>
  <c r="AH30" i="1"/>
  <c r="AV30" i="1" s="1"/>
  <c r="AF29" i="1"/>
  <c r="AT29" i="1" s="1"/>
  <c r="AD28" i="1"/>
  <c r="AR28" i="1" s="1"/>
  <c r="AF27" i="1"/>
  <c r="AT27" i="1" s="1"/>
  <c r="AD26" i="1"/>
  <c r="AR26" i="1" s="1"/>
  <c r="AE25" i="1"/>
  <c r="AS25" i="1" s="1"/>
  <c r="AC24" i="1"/>
  <c r="AQ24" i="1" s="1"/>
  <c r="AA23" i="1"/>
  <c r="AO23" i="1" s="1"/>
  <c r="W22" i="1"/>
  <c r="AK22" i="1" s="1"/>
  <c r="AF20" i="1"/>
  <c r="AT20" i="1" s="1"/>
  <c r="AB19" i="1"/>
  <c r="AP19" i="1" s="1"/>
  <c r="X18" i="1"/>
  <c r="AL18" i="1" s="1"/>
  <c r="AH16" i="1"/>
  <c r="AV16" i="1" s="1"/>
  <c r="AC15" i="1"/>
  <c r="AQ15" i="1" s="1"/>
  <c r="Y14" i="1"/>
  <c r="AM14" i="1" s="1"/>
  <c r="AF12" i="1"/>
  <c r="AT12" i="1" s="1"/>
  <c r="AH10" i="1"/>
  <c r="AV10" i="1" s="1"/>
  <c r="AF8" i="1"/>
  <c r="AT8" i="1" s="1"/>
  <c r="AG6" i="1"/>
  <c r="AU6" i="1" s="1"/>
  <c r="W11" i="1"/>
  <c r="AK11" i="1" s="1"/>
  <c r="AE11" i="1"/>
  <c r="AS11" i="1" s="1"/>
  <c r="V11" i="1"/>
  <c r="AJ11" i="1" s="1"/>
  <c r="AF11" i="1"/>
  <c r="AT11" i="1" s="1"/>
  <c r="X11" i="1"/>
  <c r="AL11" i="1" s="1"/>
  <c r="AG11" i="1"/>
  <c r="AU11" i="1" s="1"/>
  <c r="Y11" i="1"/>
  <c r="AM11" i="1" s="1"/>
  <c r="AH11" i="1"/>
  <c r="AV11" i="1" s="1"/>
  <c r="Z11" i="1"/>
  <c r="AN11" i="1" s="1"/>
  <c r="AA11" i="1"/>
  <c r="AO11" i="1" s="1"/>
  <c r="U3" i="1"/>
  <c r="AI3" i="1" s="1"/>
  <c r="AA3" i="1"/>
  <c r="AO3" i="1" s="1"/>
  <c r="AE58" i="1"/>
  <c r="AS58" i="1" s="1"/>
  <c r="V58" i="1"/>
  <c r="AJ58" i="1" s="1"/>
  <c r="AF57" i="1"/>
  <c r="AT57" i="1" s="1"/>
  <c r="W57" i="1"/>
  <c r="AK57" i="1" s="1"/>
  <c r="AB56" i="1"/>
  <c r="AP56" i="1" s="1"/>
  <c r="AF55" i="1"/>
  <c r="AT55" i="1" s="1"/>
  <c r="W55" i="1"/>
  <c r="AK55" i="1" s="1"/>
  <c r="AB54" i="1"/>
  <c r="AP54" i="1" s="1"/>
  <c r="AG53" i="1"/>
  <c r="AU53" i="1" s="1"/>
  <c r="X53" i="1"/>
  <c r="AL53" i="1" s="1"/>
  <c r="AC52" i="1"/>
  <c r="AQ52" i="1" s="1"/>
  <c r="AG51" i="1"/>
  <c r="AU51" i="1" s="1"/>
  <c r="U51" i="1"/>
  <c r="AI51" i="1" s="1"/>
  <c r="Y50" i="1"/>
  <c r="AM50" i="1" s="1"/>
  <c r="AC49" i="1"/>
  <c r="AQ49" i="1" s="1"/>
  <c r="AF48" i="1"/>
  <c r="AT48" i="1" s="1"/>
  <c r="V48" i="1"/>
  <c r="AJ48" i="1" s="1"/>
  <c r="Z47" i="1"/>
  <c r="AN47" i="1" s="1"/>
  <c r="AD46" i="1"/>
  <c r="AR46" i="1" s="1"/>
  <c r="AF45" i="1"/>
  <c r="AT45" i="1" s="1"/>
  <c r="V45" i="1"/>
  <c r="AJ45" i="1" s="1"/>
  <c r="Z44" i="1"/>
  <c r="AN44" i="1" s="1"/>
  <c r="AB43" i="1"/>
  <c r="AP43" i="1" s="1"/>
  <c r="AE42" i="1"/>
  <c r="AS42" i="1" s="1"/>
  <c r="AE41" i="1"/>
  <c r="AS41" i="1" s="1"/>
  <c r="AH40" i="1"/>
  <c r="AV40" i="1" s="1"/>
  <c r="V40" i="1"/>
  <c r="AJ40" i="1" s="1"/>
  <c r="V39" i="1"/>
  <c r="AJ39" i="1" s="1"/>
  <c r="Y38" i="1"/>
  <c r="AM38" i="1" s="1"/>
  <c r="AB37" i="1"/>
  <c r="AP37" i="1" s="1"/>
  <c r="AB36" i="1"/>
  <c r="AP36" i="1" s="1"/>
  <c r="AD35" i="1"/>
  <c r="AR35" i="1" s="1"/>
  <c r="AG34" i="1"/>
  <c r="AU34" i="1" s="1"/>
  <c r="AF33" i="1"/>
  <c r="AT33" i="1" s="1"/>
  <c r="AH32" i="1"/>
  <c r="AV32" i="1" s="1"/>
  <c r="AF31" i="1"/>
  <c r="AT31" i="1" s="1"/>
  <c r="AD30" i="1"/>
  <c r="AR30" i="1" s="1"/>
  <c r="AE29" i="1"/>
  <c r="AS29" i="1" s="1"/>
  <c r="AC28" i="1"/>
  <c r="AQ28" i="1" s="1"/>
  <c r="AD27" i="1"/>
  <c r="AR27" i="1" s="1"/>
  <c r="AB26" i="1"/>
  <c r="AP26" i="1" s="1"/>
  <c r="Z25" i="1"/>
  <c r="AN25" i="1" s="1"/>
  <c r="AB24" i="1"/>
  <c r="AP24" i="1" s="1"/>
  <c r="Z23" i="1"/>
  <c r="AN23" i="1" s="1"/>
  <c r="V22" i="1"/>
  <c r="AJ22" i="1" s="1"/>
  <c r="AE20" i="1"/>
  <c r="AS20" i="1" s="1"/>
  <c r="AA19" i="1"/>
  <c r="AO19" i="1" s="1"/>
  <c r="W18" i="1"/>
  <c r="AK18" i="1" s="1"/>
  <c r="AF16" i="1"/>
  <c r="AT16" i="1" s="1"/>
  <c r="AB15" i="1"/>
  <c r="AP15" i="1" s="1"/>
  <c r="X14" i="1"/>
  <c r="AL14" i="1" s="1"/>
  <c r="Z12" i="1"/>
  <c r="AN12" i="1" s="1"/>
  <c r="AE8" i="1"/>
  <c r="AS8" i="1" s="1"/>
  <c r="U10" i="1"/>
  <c r="AI10" i="1" s="1"/>
  <c r="AC10" i="1"/>
  <c r="AQ10" i="1" s="1"/>
  <c r="AA10" i="1"/>
  <c r="AO10" i="1" s="1"/>
  <c r="AB10" i="1"/>
  <c r="AP10" i="1" s="1"/>
  <c r="AD10" i="1"/>
  <c r="AR10" i="1" s="1"/>
  <c r="V10" i="1"/>
  <c r="AJ10" i="1" s="1"/>
  <c r="AE10" i="1"/>
  <c r="AS10" i="1" s="1"/>
  <c r="W10" i="1"/>
  <c r="AK10" i="1" s="1"/>
  <c r="AF10" i="1"/>
  <c r="AT10" i="1" s="1"/>
  <c r="AH3" i="1"/>
  <c r="AV3" i="1" s="1"/>
  <c r="Z3" i="1"/>
  <c r="AN3" i="1" s="1"/>
  <c r="AD58" i="1"/>
  <c r="AR58" i="1" s="1"/>
  <c r="U58" i="1"/>
  <c r="AI58" i="1" s="1"/>
  <c r="AE57" i="1"/>
  <c r="AS57" i="1" s="1"/>
  <c r="V57" i="1"/>
  <c r="AJ57" i="1" s="1"/>
  <c r="Z56" i="1"/>
  <c r="AN56" i="1" s="1"/>
  <c r="AE55" i="1"/>
  <c r="AS55" i="1" s="1"/>
  <c r="V55" i="1"/>
  <c r="AJ55" i="1" s="1"/>
  <c r="AA54" i="1"/>
  <c r="AO54" i="1" s="1"/>
  <c r="AF53" i="1"/>
  <c r="AT53" i="1" s="1"/>
  <c r="W53" i="1"/>
  <c r="AK53" i="1" s="1"/>
  <c r="AB52" i="1"/>
  <c r="AP52" i="1" s="1"/>
  <c r="AD51" i="1"/>
  <c r="AR51" i="1" s="1"/>
  <c r="AH50" i="1"/>
  <c r="AV50" i="1" s="1"/>
  <c r="X50" i="1"/>
  <c r="AL50" i="1" s="1"/>
  <c r="AB49" i="1"/>
  <c r="AP49" i="1" s="1"/>
  <c r="AE48" i="1"/>
  <c r="AS48" i="1" s="1"/>
  <c r="U48" i="1"/>
  <c r="AI48" i="1" s="1"/>
  <c r="Y47" i="1"/>
  <c r="AM47" i="1" s="1"/>
  <c r="AA46" i="1"/>
  <c r="AO46" i="1" s="1"/>
  <c r="AE45" i="1"/>
  <c r="AS45" i="1" s="1"/>
  <c r="U45" i="1"/>
  <c r="AI45" i="1" s="1"/>
  <c r="X44" i="1"/>
  <c r="AL44" i="1" s="1"/>
  <c r="AA43" i="1"/>
  <c r="AO43" i="1" s="1"/>
  <c r="AA42" i="1"/>
  <c r="AO42" i="1" s="1"/>
  <c r="AD41" i="1"/>
  <c r="AR41" i="1" s="1"/>
  <c r="AF40" i="1"/>
  <c r="AT40" i="1" s="1"/>
  <c r="AG39" i="1"/>
  <c r="AU39" i="1" s="1"/>
  <c r="U39" i="1"/>
  <c r="AI39" i="1" s="1"/>
  <c r="X38" i="1"/>
  <c r="AL38" i="1" s="1"/>
  <c r="X37" i="1"/>
  <c r="AL37" i="1" s="1"/>
  <c r="AA36" i="1"/>
  <c r="AO36" i="1" s="1"/>
  <c r="AC35" i="1"/>
  <c r="AQ35" i="1" s="1"/>
  <c r="AD34" i="1"/>
  <c r="AR34" i="1" s="1"/>
  <c r="AE33" i="1"/>
  <c r="AS33" i="1" s="1"/>
  <c r="AC32" i="1"/>
  <c r="AQ32" i="1" s="1"/>
  <c r="AD31" i="1"/>
  <c r="AR31" i="1" s="1"/>
  <c r="AB30" i="1"/>
  <c r="AP30" i="1" s="1"/>
  <c r="AD29" i="1"/>
  <c r="AR29" i="1" s="1"/>
  <c r="AB28" i="1"/>
  <c r="AP28" i="1" s="1"/>
  <c r="Z27" i="1"/>
  <c r="AN27" i="1" s="1"/>
  <c r="AA26" i="1"/>
  <c r="AO26" i="1" s="1"/>
  <c r="Y25" i="1"/>
  <c r="AM25" i="1" s="1"/>
  <c r="AA24" i="1"/>
  <c r="AO24" i="1" s="1"/>
  <c r="Y23" i="1"/>
  <c r="AM23" i="1" s="1"/>
  <c r="AH21" i="1"/>
  <c r="AV21" i="1" s="1"/>
  <c r="AD20" i="1"/>
  <c r="AR20" i="1" s="1"/>
  <c r="Z19" i="1"/>
  <c r="AN19" i="1" s="1"/>
  <c r="V18" i="1"/>
  <c r="AJ18" i="1" s="1"/>
  <c r="AE16" i="1"/>
  <c r="AS16" i="1" s="1"/>
  <c r="AA15" i="1"/>
  <c r="AO15" i="1" s="1"/>
  <c r="W14" i="1"/>
  <c r="AK14" i="1" s="1"/>
  <c r="X12" i="1"/>
  <c r="AL12" i="1" s="1"/>
  <c r="Z10" i="1"/>
  <c r="AN10" i="1" s="1"/>
  <c r="AD8" i="1"/>
  <c r="AR8" i="1" s="1"/>
  <c r="AH5" i="1"/>
  <c r="AV5" i="1" s="1"/>
  <c r="AA9" i="1"/>
  <c r="AO9" i="1" s="1"/>
  <c r="AB9" i="1"/>
  <c r="AP9" i="1" s="1"/>
  <c r="U9" i="1"/>
  <c r="AI9" i="1" s="1"/>
  <c r="V9" i="1"/>
  <c r="AJ9" i="1" s="1"/>
  <c r="AF9" i="1"/>
  <c r="AT9" i="1" s="1"/>
  <c r="W9" i="1"/>
  <c r="AK9" i="1" s="1"/>
  <c r="AG9" i="1"/>
  <c r="AU9" i="1" s="1"/>
  <c r="X9" i="1"/>
  <c r="AL9" i="1" s="1"/>
  <c r="AH9" i="1"/>
  <c r="AV9" i="1" s="1"/>
  <c r="Y9" i="1"/>
  <c r="AM9" i="1" s="1"/>
  <c r="Z9" i="1"/>
  <c r="AN9" i="1" s="1"/>
  <c r="AG3" i="1"/>
  <c r="AU3" i="1" s="1"/>
  <c r="Y3" i="1"/>
  <c r="AM3" i="1" s="1"/>
  <c r="AC58" i="1"/>
  <c r="AQ58" i="1" s="1"/>
  <c r="AD57" i="1"/>
  <c r="AR57" i="1" s="1"/>
  <c r="AH56" i="1"/>
  <c r="AV56" i="1" s="1"/>
  <c r="Y56" i="1"/>
  <c r="AM56" i="1" s="1"/>
  <c r="AD55" i="1"/>
  <c r="AR55" i="1" s="1"/>
  <c r="U55" i="1"/>
  <c r="AI55" i="1" s="1"/>
  <c r="Z54" i="1"/>
  <c r="AN54" i="1" s="1"/>
  <c r="AE53" i="1"/>
  <c r="AS53" i="1" s="1"/>
  <c r="V53" i="1"/>
  <c r="AJ53" i="1" s="1"/>
  <c r="Z52" i="1"/>
  <c r="AN52" i="1" s="1"/>
  <c r="AC51" i="1"/>
  <c r="AQ51" i="1" s="1"/>
  <c r="AG50" i="1"/>
  <c r="AU50" i="1" s="1"/>
  <c r="W50" i="1"/>
  <c r="AK50" i="1" s="1"/>
  <c r="Z49" i="1"/>
  <c r="AN49" i="1" s="1"/>
  <c r="AD48" i="1"/>
  <c r="AR48" i="1" s="1"/>
  <c r="AH47" i="1"/>
  <c r="AV47" i="1" s="1"/>
  <c r="V47" i="1"/>
  <c r="AJ47" i="1" s="1"/>
  <c r="Z46" i="1"/>
  <c r="AN46" i="1" s="1"/>
  <c r="AD45" i="1"/>
  <c r="AR45" i="1" s="1"/>
  <c r="AH44" i="1"/>
  <c r="AV44" i="1" s="1"/>
  <c r="W44" i="1"/>
  <c r="AK44" i="1" s="1"/>
  <c r="Z43" i="1"/>
  <c r="AN43" i="1" s="1"/>
  <c r="Z42" i="1"/>
  <c r="AN42" i="1" s="1"/>
  <c r="AC41" i="1"/>
  <c r="AQ41" i="1" s="1"/>
  <c r="AE40" i="1"/>
  <c r="AS40" i="1" s="1"/>
  <c r="AF39" i="1"/>
  <c r="AT39" i="1" s="1"/>
  <c r="AH38" i="1"/>
  <c r="AV38" i="1" s="1"/>
  <c r="W38" i="1"/>
  <c r="AK38" i="1" s="1"/>
  <c r="W37" i="1"/>
  <c r="AK37" i="1" s="1"/>
  <c r="Z36" i="1"/>
  <c r="AN36" i="1" s="1"/>
  <c r="AB35" i="1"/>
  <c r="AP35" i="1" s="1"/>
  <c r="AB34" i="1"/>
  <c r="AP34" i="1" s="1"/>
  <c r="AD33" i="1"/>
  <c r="AR33" i="1" s="1"/>
  <c r="AB32" i="1"/>
  <c r="AP32" i="1" s="1"/>
  <c r="AC31" i="1"/>
  <c r="AQ31" i="1" s="1"/>
  <c r="AA30" i="1"/>
  <c r="AO30" i="1" s="1"/>
  <c r="Y29" i="1"/>
  <c r="AM29" i="1" s="1"/>
  <c r="AA28" i="1"/>
  <c r="AO28" i="1" s="1"/>
  <c r="Y27" i="1"/>
  <c r="AM27" i="1" s="1"/>
  <c r="Z26" i="1"/>
  <c r="AN26" i="1" s="1"/>
  <c r="X25" i="1"/>
  <c r="AL25" i="1" s="1"/>
  <c r="V24" i="1"/>
  <c r="AJ24" i="1" s="1"/>
  <c r="AF21" i="1"/>
  <c r="AT21" i="1" s="1"/>
  <c r="AB20" i="1"/>
  <c r="AP20" i="1" s="1"/>
  <c r="AG17" i="1"/>
  <c r="AU17" i="1" s="1"/>
  <c r="AC16" i="1"/>
  <c r="AQ16" i="1" s="1"/>
  <c r="AD13" i="1"/>
  <c r="AR13" i="1" s="1"/>
  <c r="W12" i="1"/>
  <c r="AK12" i="1" s="1"/>
  <c r="Y10" i="1"/>
  <c r="AM10" i="1" s="1"/>
  <c r="AG5" i="1"/>
  <c r="AU5" i="1" s="1"/>
  <c r="Y8" i="1"/>
  <c r="AM8" i="1" s="1"/>
  <c r="AG8" i="1"/>
  <c r="AU8" i="1" s="1"/>
  <c r="Z8" i="1"/>
  <c r="AN8" i="1" s="1"/>
  <c r="AH8" i="1"/>
  <c r="AV8" i="1" s="1"/>
  <c r="AA8" i="1"/>
  <c r="AO8" i="1" s="1"/>
  <c r="V8" i="1"/>
  <c r="AJ8" i="1" s="1"/>
  <c r="W8" i="1"/>
  <c r="AK8" i="1" s="1"/>
  <c r="X8" i="1"/>
  <c r="AL8" i="1" s="1"/>
  <c r="AB8" i="1"/>
  <c r="AP8" i="1" s="1"/>
  <c r="AC8" i="1"/>
  <c r="AQ8" i="1" s="1"/>
  <c r="AF3" i="1"/>
  <c r="AT3" i="1" s="1"/>
  <c r="X3" i="1"/>
  <c r="AL3" i="1" s="1"/>
  <c r="AB57" i="1"/>
  <c r="AP57" i="1" s="1"/>
  <c r="AG56" i="1"/>
  <c r="AU56" i="1" s="1"/>
  <c r="X56" i="1"/>
  <c r="AL56" i="1" s="1"/>
  <c r="AH54" i="1"/>
  <c r="AV54" i="1" s="1"/>
  <c r="Y54" i="1"/>
  <c r="AM54" i="1" s="1"/>
  <c r="AD53" i="1"/>
  <c r="AR53" i="1" s="1"/>
  <c r="AH52" i="1"/>
  <c r="AV52" i="1" s="1"/>
  <c r="AF50" i="1"/>
  <c r="AT50" i="1" s="1"/>
  <c r="AF47" i="1"/>
  <c r="AT47" i="1" s="1"/>
  <c r="Y46" i="1"/>
  <c r="AM46" i="1" s="1"/>
  <c r="AC45" i="1"/>
  <c r="AQ45" i="1" s="1"/>
  <c r="AF44" i="1"/>
  <c r="AT44" i="1" s="1"/>
  <c r="V44" i="1"/>
  <c r="AJ44" i="1" s="1"/>
  <c r="V43" i="1"/>
  <c r="AJ43" i="1" s="1"/>
  <c r="Y42" i="1"/>
  <c r="AM42" i="1" s="1"/>
  <c r="AG38" i="1"/>
  <c r="AU38" i="1" s="1"/>
  <c r="AG37" i="1"/>
  <c r="AU37" i="1" s="1"/>
  <c r="V37" i="1"/>
  <c r="AJ37" i="1" s="1"/>
  <c r="Z30" i="1"/>
  <c r="AN30" i="1" s="1"/>
  <c r="X29" i="1"/>
  <c r="AL29" i="1" s="1"/>
  <c r="Z28" i="1"/>
  <c r="AN28" i="1" s="1"/>
  <c r="X27" i="1"/>
  <c r="AL27" i="1" s="1"/>
  <c r="V26" i="1"/>
  <c r="AJ26" i="1" s="1"/>
  <c r="AF22" i="1"/>
  <c r="AT22" i="1" s="1"/>
  <c r="AB21" i="1"/>
  <c r="AP21" i="1" s="1"/>
  <c r="AH14" i="1"/>
  <c r="AV14" i="1" s="1"/>
  <c r="AC13" i="1"/>
  <c r="AQ13" i="1" s="1"/>
  <c r="AD11" i="1"/>
  <c r="AR11" i="1" s="1"/>
  <c r="X10" i="1"/>
  <c r="AL10" i="1" s="1"/>
  <c r="X5" i="1"/>
  <c r="AL5" i="1" s="1"/>
  <c r="Y52" i="1"/>
  <c r="AM52" i="1" s="1"/>
  <c r="AA52" i="1"/>
  <c r="AO52" i="1" s="1"/>
  <c r="Y36" i="1"/>
  <c r="AM36" i="1" s="1"/>
  <c r="AG36" i="1"/>
  <c r="AU36" i="1" s="1"/>
  <c r="U36" i="1"/>
  <c r="AI36" i="1" s="1"/>
  <c r="AD36" i="1"/>
  <c r="AR36" i="1" s="1"/>
  <c r="V36" i="1"/>
  <c r="AJ36" i="1" s="1"/>
  <c r="AE36" i="1"/>
  <c r="AS36" i="1" s="1"/>
  <c r="Y20" i="1"/>
  <c r="AM20" i="1" s="1"/>
  <c r="AG20" i="1"/>
  <c r="AU20" i="1" s="1"/>
  <c r="X20" i="1"/>
  <c r="AL20" i="1" s="1"/>
  <c r="AH20" i="1"/>
  <c r="AV20" i="1" s="1"/>
  <c r="Z20" i="1"/>
  <c r="AN20" i="1" s="1"/>
  <c r="AA20" i="1"/>
  <c r="AO20" i="1" s="1"/>
  <c r="AC20" i="1"/>
  <c r="AQ20" i="1" s="1"/>
  <c r="Y58" i="1"/>
  <c r="AM58" i="1" s="1"/>
  <c r="AG58" i="1"/>
  <c r="AU58" i="1" s="1"/>
  <c r="W51" i="1"/>
  <c r="AK51" i="1" s="1"/>
  <c r="AE51" i="1"/>
  <c r="AS51" i="1" s="1"/>
  <c r="V51" i="1"/>
  <c r="AJ51" i="1" s="1"/>
  <c r="AF51" i="1"/>
  <c r="AT51" i="1" s="1"/>
  <c r="W35" i="1"/>
  <c r="AK35" i="1" s="1"/>
  <c r="AE35" i="1"/>
  <c r="AS35" i="1" s="1"/>
  <c r="Z35" i="1"/>
  <c r="AN35" i="1" s="1"/>
  <c r="AA35" i="1"/>
  <c r="AO35" i="1" s="1"/>
  <c r="W19" i="1"/>
  <c r="AK19" i="1" s="1"/>
  <c r="AE19" i="1"/>
  <c r="AS19" i="1" s="1"/>
  <c r="AC19" i="1"/>
  <c r="AQ19" i="1" s="1"/>
  <c r="U19" i="1"/>
  <c r="AI19" i="1" s="1"/>
  <c r="AD19" i="1"/>
  <c r="AR19" i="1" s="1"/>
  <c r="V19" i="1"/>
  <c r="AJ19" i="1" s="1"/>
  <c r="AF19" i="1"/>
  <c r="AT19" i="1" s="1"/>
  <c r="Y19" i="1"/>
  <c r="AM19" i="1" s="1"/>
  <c r="AH19" i="1"/>
  <c r="AV19" i="1" s="1"/>
  <c r="U50" i="1"/>
  <c r="AI50" i="1" s="1"/>
  <c r="AC50" i="1"/>
  <c r="AQ50" i="1" s="1"/>
  <c r="AA50" i="1"/>
  <c r="AO50" i="1" s="1"/>
  <c r="U34" i="1"/>
  <c r="AI34" i="1" s="1"/>
  <c r="AC34" i="1"/>
  <c r="AQ34" i="1" s="1"/>
  <c r="V34" i="1"/>
  <c r="AJ34" i="1" s="1"/>
  <c r="AE34" i="1"/>
  <c r="AS34" i="1" s="1"/>
  <c r="W34" i="1"/>
  <c r="AK34" i="1" s="1"/>
  <c r="AF34" i="1"/>
  <c r="AT34" i="1" s="1"/>
  <c r="U18" i="1"/>
  <c r="AI18" i="1" s="1"/>
  <c r="AC18" i="1"/>
  <c r="AQ18" i="1" s="1"/>
  <c r="Y18" i="1"/>
  <c r="AM18" i="1" s="1"/>
  <c r="AH18" i="1"/>
  <c r="AV18" i="1" s="1"/>
  <c r="Z18" i="1"/>
  <c r="AN18" i="1" s="1"/>
  <c r="AA18" i="1"/>
  <c r="AO18" i="1" s="1"/>
  <c r="AD18" i="1"/>
  <c r="AR18" i="1" s="1"/>
  <c r="AA49" i="1"/>
  <c r="AO49" i="1" s="1"/>
  <c r="W49" i="1"/>
  <c r="AK49" i="1" s="1"/>
  <c r="AF49" i="1"/>
  <c r="AT49" i="1" s="1"/>
  <c r="AA41" i="1"/>
  <c r="AO41" i="1" s="1"/>
  <c r="X41" i="1"/>
  <c r="AL41" i="1" s="1"/>
  <c r="AG41" i="1"/>
  <c r="AU41" i="1" s="1"/>
  <c r="Y41" i="1"/>
  <c r="AM41" i="1" s="1"/>
  <c r="AH41" i="1"/>
  <c r="AV41" i="1" s="1"/>
  <c r="AA33" i="1"/>
  <c r="AO33" i="1" s="1"/>
  <c r="Y33" i="1"/>
  <c r="AM33" i="1" s="1"/>
  <c r="AH33" i="1"/>
  <c r="AV33" i="1" s="1"/>
  <c r="Z33" i="1"/>
  <c r="AN33" i="1" s="1"/>
  <c r="AB33" i="1"/>
  <c r="AP33" i="1" s="1"/>
  <c r="AA25" i="1"/>
  <c r="AO25" i="1" s="1"/>
  <c r="AB25" i="1"/>
  <c r="AP25" i="1" s="1"/>
  <c r="AC25" i="1"/>
  <c r="AQ25" i="1" s="1"/>
  <c r="U25" i="1"/>
  <c r="AI25" i="1" s="1"/>
  <c r="AD25" i="1"/>
  <c r="AR25" i="1" s="1"/>
  <c r="AA17" i="1"/>
  <c r="AO17" i="1" s="1"/>
  <c r="U17" i="1"/>
  <c r="AI17" i="1" s="1"/>
  <c r="AD17" i="1"/>
  <c r="AR17" i="1" s="1"/>
  <c r="V17" i="1"/>
  <c r="AJ17" i="1" s="1"/>
  <c r="AE17" i="1"/>
  <c r="AS17" i="1" s="1"/>
  <c r="W17" i="1"/>
  <c r="AK17" i="1" s="1"/>
  <c r="AF17" i="1"/>
  <c r="AT17" i="1" s="1"/>
  <c r="Y17" i="1"/>
  <c r="AM17" i="1" s="1"/>
  <c r="AH17" i="1"/>
  <c r="AV17" i="1" s="1"/>
  <c r="Y48" i="1"/>
  <c r="AM48" i="1" s="1"/>
  <c r="AG48" i="1"/>
  <c r="AU48" i="1" s="1"/>
  <c r="AB48" i="1"/>
  <c r="AP48" i="1" s="1"/>
  <c r="Y40" i="1"/>
  <c r="AM40" i="1" s="1"/>
  <c r="AG40" i="1"/>
  <c r="AU40" i="1" s="1"/>
  <c r="AC40" i="1"/>
  <c r="AQ40" i="1" s="1"/>
  <c r="U40" i="1"/>
  <c r="AI40" i="1" s="1"/>
  <c r="AD40" i="1"/>
  <c r="AR40" i="1" s="1"/>
  <c r="Y32" i="1"/>
  <c r="AM32" i="1" s="1"/>
  <c r="AG32" i="1"/>
  <c r="AU32" i="1" s="1"/>
  <c r="U32" i="1"/>
  <c r="AI32" i="1" s="1"/>
  <c r="AD32" i="1"/>
  <c r="AR32" i="1" s="1"/>
  <c r="V32" i="1"/>
  <c r="AJ32" i="1" s="1"/>
  <c r="AE32" i="1"/>
  <c r="AS32" i="1" s="1"/>
  <c r="W32" i="1"/>
  <c r="AK32" i="1" s="1"/>
  <c r="AF32" i="1"/>
  <c r="AT32" i="1" s="1"/>
  <c r="Y24" i="1"/>
  <c r="AM24" i="1" s="1"/>
  <c r="AG24" i="1"/>
  <c r="AU24" i="1" s="1"/>
  <c r="W24" i="1"/>
  <c r="AK24" i="1" s="1"/>
  <c r="AF24" i="1"/>
  <c r="AT24" i="1" s="1"/>
  <c r="X24" i="1"/>
  <c r="AL24" i="1" s="1"/>
  <c r="AH24" i="1"/>
  <c r="AV24" i="1" s="1"/>
  <c r="Z24" i="1"/>
  <c r="AN24" i="1" s="1"/>
  <c r="Y16" i="1"/>
  <c r="AM16" i="1" s="1"/>
  <c r="AG16" i="1"/>
  <c r="AU16" i="1" s="1"/>
  <c r="Z16" i="1"/>
  <c r="AN16" i="1" s="1"/>
  <c r="AA16" i="1"/>
  <c r="AO16" i="1" s="1"/>
  <c r="AB16" i="1"/>
  <c r="AP16" i="1" s="1"/>
  <c r="U16" i="1"/>
  <c r="AI16" i="1" s="1"/>
  <c r="AD16" i="1"/>
  <c r="AR16" i="1" s="1"/>
  <c r="Y55" i="1"/>
  <c r="AM55" i="1" s="1"/>
  <c r="AG55" i="1"/>
  <c r="AU55" i="1" s="1"/>
  <c r="W47" i="1"/>
  <c r="AK47" i="1" s="1"/>
  <c r="AE47" i="1"/>
  <c r="AS47" i="1" s="1"/>
  <c r="X47" i="1"/>
  <c r="AL47" i="1" s="1"/>
  <c r="AG47" i="1"/>
  <c r="AU47" i="1" s="1"/>
  <c r="W39" i="1"/>
  <c r="AK39" i="1" s="1"/>
  <c r="AE39" i="1"/>
  <c r="AS39" i="1" s="1"/>
  <c r="Y39" i="1"/>
  <c r="AM39" i="1" s="1"/>
  <c r="AH39" i="1"/>
  <c r="AV39" i="1" s="1"/>
  <c r="Z39" i="1"/>
  <c r="AN39" i="1" s="1"/>
  <c r="W31" i="1"/>
  <c r="AK31" i="1" s="1"/>
  <c r="AE31" i="1"/>
  <c r="AS31" i="1" s="1"/>
  <c r="Z31" i="1"/>
  <c r="AN31" i="1" s="1"/>
  <c r="AA31" i="1"/>
  <c r="AO31" i="1" s="1"/>
  <c r="AB31" i="1"/>
  <c r="AP31" i="1" s="1"/>
  <c r="W23" i="1"/>
  <c r="AK23" i="1" s="1"/>
  <c r="AE23" i="1"/>
  <c r="AS23" i="1" s="1"/>
  <c r="AB23" i="1"/>
  <c r="AP23" i="1" s="1"/>
  <c r="AC23" i="1"/>
  <c r="AQ23" i="1" s="1"/>
  <c r="U23" i="1"/>
  <c r="AI23" i="1" s="1"/>
  <c r="AD23" i="1"/>
  <c r="AR23" i="1" s="1"/>
  <c r="X23" i="1"/>
  <c r="AL23" i="1" s="1"/>
  <c r="W15" i="1"/>
  <c r="AK15" i="1" s="1"/>
  <c r="AE15" i="1"/>
  <c r="AS15" i="1" s="1"/>
  <c r="U15" i="1"/>
  <c r="AI15" i="1" s="1"/>
  <c r="AD15" i="1"/>
  <c r="AR15" i="1" s="1"/>
  <c r="V15" i="1"/>
  <c r="AJ15" i="1" s="1"/>
  <c r="AF15" i="1"/>
  <c r="AT15" i="1" s="1"/>
  <c r="X15" i="1"/>
  <c r="AL15" i="1" s="1"/>
  <c r="AG15" i="1"/>
  <c r="AU15" i="1" s="1"/>
  <c r="Z15" i="1"/>
  <c r="AN15" i="1" s="1"/>
  <c r="W7" i="1"/>
  <c r="AK7" i="1" s="1"/>
  <c r="AE7" i="1"/>
  <c r="AS7" i="1" s="1"/>
  <c r="X7" i="1"/>
  <c r="AL7" i="1" s="1"/>
  <c r="AF7" i="1"/>
  <c r="AT7" i="1" s="1"/>
  <c r="Y7" i="1"/>
  <c r="AM7" i="1" s="1"/>
  <c r="AG7" i="1"/>
  <c r="AU7" i="1" s="1"/>
  <c r="V7" i="1"/>
  <c r="AJ7" i="1" s="1"/>
  <c r="Z7" i="1"/>
  <c r="AN7" i="1" s="1"/>
  <c r="AA7" i="1"/>
  <c r="AO7" i="1" s="1"/>
  <c r="AB7" i="1"/>
  <c r="AP7" i="1" s="1"/>
  <c r="AC7" i="1"/>
  <c r="AQ7" i="1" s="1"/>
  <c r="AE3" i="1"/>
  <c r="AS3" i="1" s="1"/>
  <c r="W3" i="1"/>
  <c r="AK3" i="1" s="1"/>
  <c r="AA58" i="1"/>
  <c r="AO58" i="1" s="1"/>
  <c r="AA57" i="1"/>
  <c r="AO57" i="1" s="1"/>
  <c r="AF56" i="1"/>
  <c r="AT56" i="1" s="1"/>
  <c r="W56" i="1"/>
  <c r="AK56" i="1" s="1"/>
  <c r="AB55" i="1"/>
  <c r="AP55" i="1" s="1"/>
  <c r="AG54" i="1"/>
  <c r="AU54" i="1" s="1"/>
  <c r="X54" i="1"/>
  <c r="AL54" i="1" s="1"/>
  <c r="AB53" i="1"/>
  <c r="AP53" i="1" s="1"/>
  <c r="AG52" i="1"/>
  <c r="AU52" i="1" s="1"/>
  <c r="W52" i="1"/>
  <c r="AK52" i="1" s="1"/>
  <c r="AA51" i="1"/>
  <c r="AO51" i="1" s="1"/>
  <c r="AE50" i="1"/>
  <c r="AS50" i="1" s="1"/>
  <c r="AH49" i="1"/>
  <c r="AV49" i="1" s="1"/>
  <c r="X49" i="1"/>
  <c r="AL49" i="1" s="1"/>
  <c r="AA48" i="1"/>
  <c r="AO48" i="1" s="1"/>
  <c r="AD47" i="1"/>
  <c r="AR47" i="1" s="1"/>
  <c r="AH46" i="1"/>
  <c r="AV46" i="1" s="1"/>
  <c r="X46" i="1"/>
  <c r="AL46" i="1" s="1"/>
  <c r="AB45" i="1"/>
  <c r="AP45" i="1" s="1"/>
  <c r="AE44" i="1"/>
  <c r="AS44" i="1" s="1"/>
  <c r="U44" i="1"/>
  <c r="AI44" i="1" s="1"/>
  <c r="U43" i="1"/>
  <c r="AI43" i="1" s="1"/>
  <c r="X42" i="1"/>
  <c r="AL42" i="1" s="1"/>
  <c r="Z41" i="1"/>
  <c r="AN41" i="1" s="1"/>
  <c r="AA40" i="1"/>
  <c r="AO40" i="1" s="1"/>
  <c r="AC39" i="1"/>
  <c r="AQ39" i="1" s="1"/>
  <c r="AF38" i="1"/>
  <c r="AT38" i="1" s="1"/>
  <c r="AF37" i="1"/>
  <c r="AT37" i="1" s="1"/>
  <c r="U37" i="1"/>
  <c r="AI37" i="1" s="1"/>
  <c r="W36" i="1"/>
  <c r="AK36" i="1" s="1"/>
  <c r="X35" i="1"/>
  <c r="AL35" i="1" s="1"/>
  <c r="Z34" i="1"/>
  <c r="AN34" i="1" s="1"/>
  <c r="X33" i="1"/>
  <c r="AL33" i="1" s="1"/>
  <c r="Z32" i="1"/>
  <c r="AN32" i="1" s="1"/>
  <c r="X31" i="1"/>
  <c r="AL31" i="1" s="1"/>
  <c r="Y30" i="1"/>
  <c r="AM30" i="1" s="1"/>
  <c r="W29" i="1"/>
  <c r="AK29" i="1" s="1"/>
  <c r="U28" i="1"/>
  <c r="AI28" i="1" s="1"/>
  <c r="V27" i="1"/>
  <c r="AJ27" i="1" s="1"/>
  <c r="AH25" i="1"/>
  <c r="AV25" i="1" s="1"/>
  <c r="V25" i="1"/>
  <c r="AJ25" i="1" s="1"/>
  <c r="AH23" i="1"/>
  <c r="AV23" i="1" s="1"/>
  <c r="AE22" i="1"/>
  <c r="AS22" i="1" s="1"/>
  <c r="Z21" i="1"/>
  <c r="AN21" i="1" s="1"/>
  <c r="V20" i="1"/>
  <c r="AJ20" i="1" s="1"/>
  <c r="AF18" i="1"/>
  <c r="AT18" i="1" s="1"/>
  <c r="AB17" i="1"/>
  <c r="AP17" i="1" s="1"/>
  <c r="W16" i="1"/>
  <c r="AK16" i="1" s="1"/>
  <c r="AG14" i="1"/>
  <c r="AU14" i="1" s="1"/>
  <c r="AB13" i="1"/>
  <c r="AP13" i="1" s="1"/>
  <c r="AC11" i="1"/>
  <c r="AQ11" i="1" s="1"/>
  <c r="AE9" i="1"/>
  <c r="AS9" i="1" s="1"/>
  <c r="AD7" i="1"/>
  <c r="AR7" i="1" s="1"/>
  <c r="W5" i="1"/>
  <c r="AK5" i="1" s="1"/>
  <c r="U6" i="1"/>
  <c r="AI6" i="1" s="1"/>
  <c r="AC6" i="1"/>
  <c r="AQ6" i="1" s="1"/>
  <c r="V6" i="1"/>
  <c r="AJ6" i="1" s="1"/>
  <c r="AD6" i="1"/>
  <c r="AR6" i="1" s="1"/>
  <c r="W6" i="1"/>
  <c r="AK6" i="1" s="1"/>
  <c r="AE6" i="1"/>
  <c r="AS6" i="1" s="1"/>
  <c r="Y6" i="1"/>
  <c r="AM6" i="1" s="1"/>
  <c r="Z6" i="1"/>
  <c r="AN6" i="1" s="1"/>
  <c r="AA6" i="1"/>
  <c r="AO6" i="1" s="1"/>
  <c r="AB6" i="1"/>
  <c r="AP6" i="1" s="1"/>
  <c r="AF6" i="1"/>
  <c r="AT6" i="1" s="1"/>
  <c r="AD3" i="1"/>
  <c r="AR3" i="1" s="1"/>
  <c r="Z58" i="1"/>
  <c r="AN58" i="1" s="1"/>
  <c r="Z57" i="1"/>
  <c r="AN57" i="1" s="1"/>
  <c r="AE56" i="1"/>
  <c r="AS56" i="1" s="1"/>
  <c r="V56" i="1"/>
  <c r="AJ56" i="1" s="1"/>
  <c r="AA55" i="1"/>
  <c r="AO55" i="1" s="1"/>
  <c r="AF54" i="1"/>
  <c r="AT54" i="1" s="1"/>
  <c r="V54" i="1"/>
  <c r="AJ54" i="1" s="1"/>
  <c r="AA53" i="1"/>
  <c r="AO53" i="1" s="1"/>
  <c r="AF52" i="1"/>
  <c r="AT52" i="1" s="1"/>
  <c r="V52" i="1"/>
  <c r="AJ52" i="1" s="1"/>
  <c r="Z51" i="1"/>
  <c r="AN51" i="1" s="1"/>
  <c r="AD50" i="1"/>
  <c r="AR50" i="1" s="1"/>
  <c r="AG49" i="1"/>
  <c r="AU49" i="1" s="1"/>
  <c r="V49" i="1"/>
  <c r="AJ49" i="1" s="1"/>
  <c r="Z48" i="1"/>
  <c r="AN48" i="1" s="1"/>
  <c r="AC47" i="1"/>
  <c r="AQ47" i="1" s="1"/>
  <c r="AG46" i="1"/>
  <c r="AU46" i="1" s="1"/>
  <c r="W46" i="1"/>
  <c r="AK46" i="1" s="1"/>
  <c r="Z45" i="1"/>
  <c r="AN45" i="1" s="1"/>
  <c r="AD44" i="1"/>
  <c r="AR44" i="1" s="1"/>
  <c r="AF43" i="1"/>
  <c r="AT43" i="1" s="1"/>
  <c r="AH42" i="1"/>
  <c r="AV42" i="1" s="1"/>
  <c r="W42" i="1"/>
  <c r="AK42" i="1" s="1"/>
  <c r="W41" i="1"/>
  <c r="AK41" i="1" s="1"/>
  <c r="Z40" i="1"/>
  <c r="AN40" i="1" s="1"/>
  <c r="AB39" i="1"/>
  <c r="AP39" i="1" s="1"/>
  <c r="AB38" i="1"/>
  <c r="AP38" i="1" s="1"/>
  <c r="AE37" i="1"/>
  <c r="AS37" i="1" s="1"/>
  <c r="AH36" i="1"/>
  <c r="AV36" i="1" s="1"/>
  <c r="AH35" i="1"/>
  <c r="AV35" i="1" s="1"/>
  <c r="V35" i="1"/>
  <c r="AJ35" i="1" s="1"/>
  <c r="Y34" i="1"/>
  <c r="AM34" i="1" s="1"/>
  <c r="W33" i="1"/>
  <c r="AK33" i="1" s="1"/>
  <c r="X32" i="1"/>
  <c r="AL32" i="1" s="1"/>
  <c r="V31" i="1"/>
  <c r="AJ31" i="1" s="1"/>
  <c r="AH29" i="1"/>
  <c r="AV29" i="1" s="1"/>
  <c r="V29" i="1"/>
  <c r="AJ29" i="1" s="1"/>
  <c r="AH27" i="1"/>
  <c r="AV27" i="1" s="1"/>
  <c r="U27" i="1"/>
  <c r="AI27" i="1" s="1"/>
  <c r="AG25" i="1"/>
  <c r="AU25" i="1" s="1"/>
  <c r="AE24" i="1"/>
  <c r="AS24" i="1" s="1"/>
  <c r="AG23" i="1"/>
  <c r="AU23" i="1" s="1"/>
  <c r="AD22" i="1"/>
  <c r="AR22" i="1" s="1"/>
  <c r="Y21" i="1"/>
  <c r="AM21" i="1" s="1"/>
  <c r="U20" i="1"/>
  <c r="AI20" i="1" s="1"/>
  <c r="AE18" i="1"/>
  <c r="AS18" i="1" s="1"/>
  <c r="Z17" i="1"/>
  <c r="AN17" i="1" s="1"/>
  <c r="V16" i="1"/>
  <c r="AJ16" i="1" s="1"/>
  <c r="AF14" i="1"/>
  <c r="AT14" i="1" s="1"/>
  <c r="U13" i="1"/>
  <c r="AI13" i="1" s="1"/>
  <c r="AB11" i="1"/>
  <c r="AP11" i="1" s="1"/>
  <c r="AD9" i="1"/>
  <c r="AR9" i="1" s="1"/>
  <c r="U7" i="1"/>
  <c r="AI7" i="1" s="1"/>
  <c r="V5" i="1"/>
  <c r="AJ5" i="1" s="1"/>
  <c r="D10" i="5" l="1"/>
  <c r="D15" i="5"/>
  <c r="D33" i="5"/>
  <c r="D46" i="5"/>
  <c r="D55" i="5"/>
  <c r="D19" i="5"/>
  <c r="D31" i="5"/>
  <c r="D58" i="5"/>
  <c r="D17" i="5"/>
  <c r="D45" i="5"/>
  <c r="D43" i="5"/>
  <c r="D41" i="5"/>
  <c r="D22" i="5"/>
  <c r="D38" i="5"/>
  <c r="D54" i="5"/>
  <c r="D7" i="5"/>
  <c r="D51" i="5"/>
  <c r="D8" i="5"/>
  <c r="D24" i="5"/>
  <c r="D40" i="5"/>
  <c r="D9" i="5"/>
  <c r="D32" i="5"/>
  <c r="D59" i="5"/>
  <c r="D35" i="5"/>
  <c r="D39" i="5"/>
  <c r="D6" i="5"/>
  <c r="D18" i="5"/>
  <c r="D47" i="5"/>
  <c r="D26" i="5"/>
  <c r="D29" i="5"/>
  <c r="D5" i="5"/>
  <c r="D11" i="5"/>
  <c r="D23" i="5"/>
  <c r="D37" i="5"/>
  <c r="D13" i="5"/>
  <c r="D56" i="5"/>
  <c r="D50" i="5"/>
  <c r="D53" i="5"/>
  <c r="D3" i="5"/>
  <c r="D27" i="5"/>
  <c r="D49" i="5"/>
  <c r="D21" i="5"/>
  <c r="D14" i="5"/>
  <c r="D30" i="5"/>
  <c r="D57" i="5"/>
  <c r="D48" i="5"/>
  <c r="D16" i="5"/>
  <c r="D25" i="5"/>
  <c r="D42" i="5"/>
  <c r="D34" i="5"/>
  <c r="D44" i="5"/>
  <c r="D36" i="5"/>
  <c r="D4" i="5"/>
  <c r="D52" i="5"/>
  <c r="D28" i="5"/>
  <c r="D20" i="5"/>
  <c r="D12" i="5"/>
</calcChain>
</file>

<file path=xl/sharedStrings.xml><?xml version="1.0" encoding="utf-8"?>
<sst xmlns="http://schemas.openxmlformats.org/spreadsheetml/2006/main" count="620" uniqueCount="326">
  <si>
    <t>matched_reference</t>
  </si>
  <si>
    <t>Active colorectal cancer</t>
  </si>
  <si>
    <t>Active female breast cancer</t>
  </si>
  <si>
    <t>Active lung cancer</t>
  </si>
  <si>
    <t>Active prostate cancer</t>
  </si>
  <si>
    <t>Acute coronary syndrome</t>
  </si>
  <si>
    <t>Acute heart failure</t>
  </si>
  <si>
    <t>Addictive disorders</t>
  </si>
  <si>
    <t>Ankylosing spondylitis and related diseases</t>
  </si>
  <si>
    <t>Antidepressant or mood-regulating treatments</t>
  </si>
  <si>
    <t>Antihypertensive treatments</t>
  </si>
  <si>
    <t>Anxiolytic treatments</t>
  </si>
  <si>
    <t>Chronic coronary disease without acute event</t>
  </si>
  <si>
    <t>Chronic dialysis</t>
  </si>
  <si>
    <t>Chronic heart failure without acute event</t>
  </si>
  <si>
    <t>Cystic fibrosis</t>
  </si>
  <si>
    <t>Dementia (including Alzheimer disease)</t>
  </si>
  <si>
    <t>Diabetes</t>
  </si>
  <si>
    <t>Epilepsy</t>
  </si>
  <si>
    <t>Follow-up for colorectal cancer</t>
  </si>
  <si>
    <t>Follow-up for female breast cancer</t>
  </si>
  <si>
    <t>Follow-up for kidney transplant</t>
  </si>
  <si>
    <t>Follow-up for lung cancer</t>
  </si>
  <si>
    <t>Follow-up for other cancers</t>
  </si>
  <si>
    <t>Follow-up for prostate cancer</t>
  </si>
  <si>
    <t>HIV infection</t>
  </si>
  <si>
    <t>Heart arrhythmia or conduction disorders</t>
  </si>
  <si>
    <t>Hemophilia or severe hemostasis disorders</t>
  </si>
  <si>
    <t>Hospitalization for other reasons</t>
  </si>
  <si>
    <t>Inflammatory bowel diseases</t>
  </si>
  <si>
    <t>Kidney transplant</t>
  </si>
  <si>
    <t>Maternity</t>
  </si>
  <si>
    <t>Mental impairment</t>
  </si>
  <si>
    <t>Multiple sclerosis</t>
  </si>
  <si>
    <t>Myopathy or myasthenia</t>
  </si>
  <si>
    <t>Neurotic and mood disorders</t>
  </si>
  <si>
    <t>Other active cancers</t>
  </si>
  <si>
    <t>Other cardiovascular diseases</t>
  </si>
  <si>
    <t>Other chronic inflammatory diseases</t>
  </si>
  <si>
    <t>Other long-term diseases</t>
  </si>
  <si>
    <t>Other neurological conditions</t>
  </si>
  <si>
    <t>Other psychiatric disorders</t>
  </si>
  <si>
    <t>Paraplegia</t>
  </si>
  <si>
    <t>Parkinson disease</t>
  </si>
  <si>
    <t>Peripheral vascular diseases</t>
  </si>
  <si>
    <t>Psychiatric disorders having begun in childhood</t>
  </si>
  <si>
    <t>Psychotic disorders</t>
  </si>
  <si>
    <t>Pulmonary embolism</t>
  </si>
  <si>
    <t>Rheumatoid arthritis and related diseases</t>
  </si>
  <si>
    <t>Sequelae of stroke</t>
  </si>
  <si>
    <t>Valvular heart diseases</t>
  </si>
  <si>
    <t>EFF_eff_M_15_34</t>
  </si>
  <si>
    <t>EFF_eff_M_35_54</t>
  </si>
  <si>
    <t>EFF_eff_M_55_64</t>
  </si>
  <si>
    <t>EFF_eff_M_65_74</t>
  </si>
  <si>
    <t>EFF_eff_M_75_pl</t>
  </si>
  <si>
    <t>EFF_eff_M_total</t>
  </si>
  <si>
    <t>EFF_eff_F_00_14</t>
  </si>
  <si>
    <t>EFF_eff_F_15_34</t>
  </si>
  <si>
    <t>EFF_eff_F_35_54</t>
  </si>
  <si>
    <t>EFF_eff_F_55_64</t>
  </si>
  <si>
    <t>EFF_eff_F_65_74</t>
  </si>
  <si>
    <t>EFF_eff_F_75_pl</t>
  </si>
  <si>
    <t>EFF_eff_F_total</t>
  </si>
  <si>
    <t>Total</t>
  </si>
  <si>
    <t>EFF_share_M_00_14</t>
  </si>
  <si>
    <t>EFF_share_M_15_34</t>
  </si>
  <si>
    <t>EFF_share_M_35_54</t>
  </si>
  <si>
    <t>EFF_share_M_55_64</t>
  </si>
  <si>
    <t>EFF_share_M_65_74</t>
  </si>
  <si>
    <t>EFF_share_M_75_pl</t>
  </si>
  <si>
    <t>EFF_share_M_total</t>
  </si>
  <si>
    <t>EFF_share_F_00_14</t>
  </si>
  <si>
    <t>EFF_share_F_15_34</t>
  </si>
  <si>
    <t>EFF_share_F_35_54</t>
  </si>
  <si>
    <t>EFF_eff_M_00_14</t>
  </si>
  <si>
    <t>DEP_Effectif</t>
  </si>
  <si>
    <t>DEP_total</t>
  </si>
  <si>
    <t>DEP_total_outpatient</t>
  </si>
  <si>
    <t>DEP_physician</t>
  </si>
  <si>
    <t>DEP_nurse</t>
  </si>
  <si>
    <t>DEP_physiotherapist</t>
  </si>
  <si>
    <t>DEP_other_providers</t>
  </si>
  <si>
    <t>DEP_medicines</t>
  </si>
  <si>
    <t>DEP_other_health_products</t>
  </si>
  <si>
    <t>DEP_lab</t>
  </si>
  <si>
    <t>DEP_transports</t>
  </si>
  <si>
    <t>DEP_outpatient_other</t>
  </si>
  <si>
    <t>DEP_total_hospit</t>
  </si>
  <si>
    <t>DEP_including_medicine_surgery_obstetrics</t>
  </si>
  <si>
    <t>DEP_benefit</t>
  </si>
  <si>
    <t>DEP_including_sick_leave_benefit</t>
  </si>
  <si>
    <t>EFF_share_F_55_64</t>
  </si>
  <si>
    <t>EFF_share_F_65_74</t>
  </si>
  <si>
    <t>EFF_share_F_75_pl</t>
  </si>
  <si>
    <t>EFF_share_F_total</t>
  </si>
  <si>
    <t>DEP_share_total_outpatient</t>
  </si>
  <si>
    <t>DEP_share_physician</t>
  </si>
  <si>
    <t>DEP_share_nurse</t>
  </si>
  <si>
    <t>DEP_share_physiotherapist</t>
  </si>
  <si>
    <t>DEP_share_other_providers</t>
  </si>
  <si>
    <t>DEP_share_medicines</t>
  </si>
  <si>
    <t>DEP_share_other_health_products</t>
  </si>
  <si>
    <t>DEP_share_lab</t>
  </si>
  <si>
    <t>DEP_share_transports</t>
  </si>
  <si>
    <t>DEP_share_outpatient_other</t>
  </si>
  <si>
    <t>DEP_share_total_hospit</t>
  </si>
  <si>
    <t>DEP_share_including_medicine_surgery_obstetrics</t>
  </si>
  <si>
    <t>DEP_share_benefit</t>
  </si>
  <si>
    <t>DEP_share_including_sick_leave_benefit</t>
  </si>
  <si>
    <t>n</t>
  </si>
  <si>
    <t>Prevalence (%)</t>
  </si>
  <si>
    <t>Expenditures (In Billion €)</t>
  </si>
  <si>
    <t>EXP_share_M_00_14</t>
  </si>
  <si>
    <t>EXP_share_M_15_34</t>
  </si>
  <si>
    <t>EXP_share_M_35_54</t>
  </si>
  <si>
    <t>EXP_share_M_55_64</t>
  </si>
  <si>
    <t>EXP_share_M_65_74</t>
  </si>
  <si>
    <t>EXP_share_M_75_pl</t>
  </si>
  <si>
    <t>EXP_share_M_total</t>
  </si>
  <si>
    <t>EXP_share_F_00_14</t>
  </si>
  <si>
    <t>EXP_share_F_15_34</t>
  </si>
  <si>
    <t>EXP_share_F_35_54</t>
  </si>
  <si>
    <t>EXP_share_F_55_64</t>
  </si>
  <si>
    <t>EXP_share_F_65_74</t>
  </si>
  <si>
    <t>EXP_share_F_75_pl</t>
  </si>
  <si>
    <t>EXP_share_F_total</t>
  </si>
  <si>
    <t>EXP_share_total_outpatient</t>
  </si>
  <si>
    <t>EXP_share_physician</t>
  </si>
  <si>
    <t>EXP_share_nurse</t>
  </si>
  <si>
    <t>EXP_share_physiotherapist</t>
  </si>
  <si>
    <t>EXP_share_other_providers</t>
  </si>
  <si>
    <t>EXP_share_medicines</t>
  </si>
  <si>
    <t>EXP_share_other_health_products</t>
  </si>
  <si>
    <t>EXP_share_lab</t>
  </si>
  <si>
    <t>EXP_share_transports</t>
  </si>
  <si>
    <t>EXP_share_outpatient_other</t>
  </si>
  <si>
    <t>EXP_share_total_hospit</t>
  </si>
  <si>
    <t>EXP_share_including_medicine_surgery_obstetrics</t>
  </si>
  <si>
    <t>EXP_share_benefit</t>
  </si>
  <si>
    <t>EXP_share_including_sick_leave_benefit</t>
  </si>
  <si>
    <t>The Economic Burden of Disease in France From the National Health Insurance Perspective 10.1097/MLR.0000000000001745</t>
  </si>
  <si>
    <t>Number of patients by pathology and age group according to gender. French National Insurer. https://www.assurance-maladie.ameli.fr/etudes-et-donnees/cartographie-effectif-patients-par-pathologie-age-sexe</t>
  </si>
  <si>
    <t>Reimbursed expenses allocated to each pathology. French National Insurer. https://www.data.gouv.fr/datasets/pathologies-depenses-remboursees-affectees-a-chaque-pathologie/</t>
  </si>
  <si>
    <t>health conditions</t>
  </si>
  <si>
    <t>ICD-10 (hospital discharge)</t>
  </si>
  <si>
    <t>ICD-10 (long-term disease)</t>
  </si>
  <si>
    <t>ATC codes (or other specific drugs)*</t>
  </si>
  <si>
    <t>I200+0, I21-I24</t>
  </si>
  <si>
    <t>I20-I25</t>
  </si>
  <si>
    <t>Acute stroke</t>
  </si>
  <si>
    <t>I60-I64</t>
  </si>
  <si>
    <t>I60-I64, I67-I69</t>
  </si>
  <si>
    <t>I60-I64, I67-I69, G81</t>
  </si>
  <si>
    <r>
      <t>I50, I11.0</t>
    </r>
    <r>
      <rPr>
        <vertAlign val="superscript"/>
        <sz val="8"/>
        <color rgb="FF000000"/>
        <rFont val="Times New Roman"/>
        <family val="1"/>
      </rPr>
      <t>a</t>
    </r>
    <r>
      <rPr>
        <sz val="8"/>
        <color rgb="FF000000"/>
        <rFont val="Times New Roman"/>
        <family val="1"/>
      </rPr>
      <t>, I13.0</t>
    </r>
    <r>
      <rPr>
        <vertAlign val="superscript"/>
        <sz val="8"/>
        <color rgb="FF000000"/>
        <rFont val="Times New Roman"/>
        <family val="1"/>
      </rPr>
      <t>a</t>
    </r>
    <r>
      <rPr>
        <sz val="8"/>
        <color rgb="FF000000"/>
        <rFont val="Times New Roman"/>
        <family val="1"/>
      </rPr>
      <t>, I13.2</t>
    </r>
    <r>
      <rPr>
        <vertAlign val="superscript"/>
        <sz val="8"/>
        <color rgb="FF000000"/>
        <rFont val="Times New Roman"/>
        <family val="1"/>
      </rPr>
      <t>a</t>
    </r>
    <r>
      <rPr>
        <sz val="8"/>
        <color rgb="FF000000"/>
        <rFont val="Times New Roman"/>
        <family val="1"/>
      </rPr>
      <t>, I13.9</t>
    </r>
    <r>
      <rPr>
        <vertAlign val="superscript"/>
        <sz val="8"/>
        <color rgb="FF000000"/>
        <rFont val="Times New Roman"/>
        <family val="1"/>
      </rPr>
      <t>a</t>
    </r>
    <r>
      <rPr>
        <sz val="8"/>
        <color rgb="FF000000"/>
        <rFont val="Times New Roman"/>
        <family val="1"/>
      </rPr>
      <t>, K76.1</t>
    </r>
    <r>
      <rPr>
        <vertAlign val="superscript"/>
        <sz val="8"/>
        <color rgb="FF000000"/>
        <rFont val="Times New Roman"/>
        <family val="1"/>
      </rPr>
      <t>a</t>
    </r>
    <r>
      <rPr>
        <sz val="8"/>
        <color rgb="FF000000"/>
        <rFont val="Times New Roman"/>
        <family val="1"/>
      </rPr>
      <t>, J81</t>
    </r>
    <r>
      <rPr>
        <vertAlign val="superscript"/>
        <sz val="8"/>
        <color rgb="FF000000"/>
        <rFont val="Times New Roman"/>
        <family val="1"/>
      </rPr>
      <t>a</t>
    </r>
  </si>
  <si>
    <t>I50, I11, I13</t>
  </si>
  <si>
    <t>I70.2, I73.9, I74.0, I74.3-I74.5</t>
  </si>
  <si>
    <t>I70, I73, I74</t>
  </si>
  <si>
    <t>I44, I45, I47-I49</t>
  </si>
  <si>
    <t>I05-I08, I34-I39</t>
  </si>
  <si>
    <t>I26</t>
  </si>
  <si>
    <t xml:space="preserve">I01, I09, I27, I28, I30-I33, I40-I43, I51, I52, I65, I68, I71, I72, I77-I83, I87, I95, I99, P29, Q20-Q28, K55, R00, T82, Z95 </t>
  </si>
  <si>
    <t>Antihypertensive treatments (without specific diagnosis)</t>
  </si>
  <si>
    <t>C02AB02, C02AC01, C02AC02, C02AC05, C02AC06, C02CA01, C02CA06, C02DC01, C02LA01, C03AA01, C03AA03, C03BA04, C03BA10, C03BA11, C03BX03, C03CA01, C03CA02, C03CA03, C03DA01, C03DB01, C03EA, C03EA01, C03EA04, C07AA02, C07AA03, C07AA05, C07AA06, C07AA12, C07AA15, C07AA16, C07AA23, C07AB02, C07AB03, C07AB04, C07AB05, C07AB07, C07AB08, C07AB12, C07AG01, C07BA02, C07BB02, C07BB03, C07BB07, C07BB12, C07CA03, C07DA06, C07FB02, C07FB03, C08CA01, C08CA02, C08CA03, C08CA04, C08CA05, C08CA08, C08CA09, C08CA11, C08CA13, C08CX01, C08DA01, C08DB01, C08GA02, C09AA01, C09AA02, C09AA03, C09AA04, C09AA05, C09AA06, C09AA07, C09AA08, C09AA09, C09AA10, C09AA13, C09AA15, C09AA16, C09BA01, C09BA02, C09BA03, C09BA04, C09BA05, C09BA06, C09BA07, C09BA09, C09BA15, C09BB02, C09BB04, C09BB07, C09BB10, C09BX02, C09CA01, C09CA02, C09CA03, C09CA04, C09CA06, C09CA07, C09CA08, C09DA01, C09DA02, C09DA03, C09DA04, C09DA06, C09DA07, C09DA08, C09DB01, C09DB02, C09DB04, C09XA02, C09XA52, C10BX03</t>
  </si>
  <si>
    <t>Lipid-lowering treatments (without specific diagnosis)</t>
  </si>
  <si>
    <t>all 'C10' codes</t>
  </si>
  <si>
    <r>
      <t>E10-E14, G59.0</t>
    </r>
    <r>
      <rPr>
        <vertAlign val="superscript"/>
        <sz val="8"/>
        <color rgb="FF000000"/>
        <rFont val="Times New Roman"/>
        <family val="1"/>
      </rPr>
      <t>b</t>
    </r>
    <r>
      <rPr>
        <sz val="8"/>
        <color rgb="FF000000"/>
        <rFont val="Times New Roman"/>
        <family val="1"/>
      </rPr>
      <t>, G63.2</t>
    </r>
    <r>
      <rPr>
        <vertAlign val="superscript"/>
        <sz val="8"/>
        <color rgb="FF000000"/>
        <rFont val="Times New Roman"/>
        <family val="1"/>
      </rPr>
      <t>b</t>
    </r>
    <r>
      <rPr>
        <sz val="8"/>
        <color rgb="FF000000"/>
        <rFont val="Times New Roman"/>
        <family val="1"/>
      </rPr>
      <t>, G73.0</t>
    </r>
    <r>
      <rPr>
        <vertAlign val="superscript"/>
        <sz val="8"/>
        <color rgb="FF000000"/>
        <rFont val="Times New Roman"/>
        <family val="1"/>
      </rPr>
      <t>b</t>
    </r>
    <r>
      <rPr>
        <sz val="8"/>
        <color rgb="FF000000"/>
        <rFont val="Times New Roman"/>
        <family val="1"/>
      </rPr>
      <t>, G99.0</t>
    </r>
    <r>
      <rPr>
        <vertAlign val="superscript"/>
        <sz val="8"/>
        <color rgb="FF000000"/>
        <rFont val="Times New Roman"/>
        <family val="1"/>
      </rPr>
      <t>b</t>
    </r>
    <r>
      <rPr>
        <sz val="8"/>
        <color rgb="FF000000"/>
        <rFont val="Times New Roman"/>
        <family val="1"/>
      </rPr>
      <t>, H28.0</t>
    </r>
    <r>
      <rPr>
        <vertAlign val="superscript"/>
        <sz val="8"/>
        <color rgb="FF000000"/>
        <rFont val="Times New Roman"/>
        <family val="1"/>
      </rPr>
      <t>b</t>
    </r>
    <r>
      <rPr>
        <sz val="8"/>
        <color rgb="FF000000"/>
        <rFont val="Times New Roman"/>
        <family val="1"/>
      </rPr>
      <t>, H36.0</t>
    </r>
    <r>
      <rPr>
        <vertAlign val="superscript"/>
        <sz val="8"/>
        <color rgb="FF000000"/>
        <rFont val="Times New Roman"/>
        <family val="1"/>
      </rPr>
      <t>b</t>
    </r>
    <r>
      <rPr>
        <sz val="8"/>
        <color rgb="FF000000"/>
        <rFont val="Times New Roman"/>
        <family val="1"/>
      </rPr>
      <t>, I79.2</t>
    </r>
    <r>
      <rPr>
        <vertAlign val="superscript"/>
        <sz val="8"/>
        <color rgb="FF000000"/>
        <rFont val="Times New Roman"/>
        <family val="1"/>
      </rPr>
      <t>b</t>
    </r>
    <r>
      <rPr>
        <sz val="8"/>
        <color rgb="FF000000"/>
        <rFont val="Times New Roman"/>
        <family val="1"/>
      </rPr>
      <t>, L97</t>
    </r>
    <r>
      <rPr>
        <vertAlign val="superscript"/>
        <sz val="8"/>
        <color rgb="FF000000"/>
        <rFont val="Times New Roman"/>
        <family val="1"/>
      </rPr>
      <t>b</t>
    </r>
    <r>
      <rPr>
        <sz val="8"/>
        <color rgb="FF000000"/>
        <rFont val="Times New Roman"/>
        <family val="1"/>
      </rPr>
      <t>, M14.2</t>
    </r>
    <r>
      <rPr>
        <vertAlign val="superscript"/>
        <sz val="8"/>
        <color rgb="FF000000"/>
        <rFont val="Times New Roman"/>
        <family val="1"/>
      </rPr>
      <t>b</t>
    </r>
    <r>
      <rPr>
        <sz val="8"/>
        <color rgb="FF000000"/>
        <rFont val="Times New Roman"/>
        <family val="1"/>
      </rPr>
      <t>, M14.6</t>
    </r>
    <r>
      <rPr>
        <vertAlign val="superscript"/>
        <sz val="8"/>
        <color rgb="FF000000"/>
        <rFont val="Times New Roman"/>
        <family val="1"/>
      </rPr>
      <t>b</t>
    </r>
    <r>
      <rPr>
        <sz val="8"/>
        <color rgb="FF000000"/>
        <rFont val="Times New Roman"/>
        <family val="1"/>
      </rPr>
      <t>, N08.3</t>
    </r>
    <r>
      <rPr>
        <vertAlign val="superscript"/>
        <sz val="8"/>
        <color rgb="FF000000"/>
        <rFont val="Times New Roman"/>
        <family val="1"/>
      </rPr>
      <t>b</t>
    </r>
  </si>
  <si>
    <t>E10-E14</t>
  </si>
  <si>
    <t>all 'A10' codes excepted A10BX06 (benfluorex)</t>
  </si>
  <si>
    <t>C50, D05</t>
  </si>
  <si>
    <t>C18-C20, D01.0-D01.2</t>
  </si>
  <si>
    <t>C18-C20</t>
  </si>
  <si>
    <t>C33, C34, D02.1, D02.2</t>
  </si>
  <si>
    <t>C33, C34</t>
  </si>
  <si>
    <t>C61, D07.5</t>
  </si>
  <si>
    <t>C61</t>
  </si>
  <si>
    <t>G03HA01, L01CD04, L01XX11, L02AA01, L02AA04, L02AE01, L02AE02, L02AE03, L02AE04, L02AE05, L02BB01, L02BB02, L02BB03, L02BB04, L02BX02, L02BX03, V10BX01, V10XX (combined with male sex and age&gt;40)</t>
  </si>
  <si>
    <t>all 'C' codes (excepted C50 in females, C18, C19, C20, C61, C33, C34) and D00-D09 codes (excepted D05 in females, D01.0, D01.1, D01.2, D07.5, D02.1, D02.2)</t>
  </si>
  <si>
    <t>all 'C' codes (excepted C50 in females, C18, C19, C20, C61, C33, C34) and D00-D09 codes (excepted D05 in females)</t>
  </si>
  <si>
    <t>F20-F25, F28, F29</t>
  </si>
  <si>
    <r>
      <t>N05A codes</t>
    </r>
    <r>
      <rPr>
        <vertAlign val="superscript"/>
        <sz val="8"/>
        <color rgb="FF000000"/>
        <rFont val="Times New Roman"/>
        <family val="1"/>
      </rPr>
      <t>c</t>
    </r>
    <r>
      <rPr>
        <sz val="8"/>
        <color rgb="FF000000"/>
        <rFont val="Times New Roman"/>
        <family val="1"/>
      </rPr>
      <t xml:space="preserve"> excepted N05AN01, N05AL06 and chlorproethazine</t>
    </r>
  </si>
  <si>
    <t>F30-F34, F38-F45, F48</t>
  </si>
  <si>
    <t>N06A codes, N05AN01, valproic acid, valpromide, excepted levotonine</t>
  </si>
  <si>
    <t>F70-F73, F78, F79</t>
  </si>
  <si>
    <t>F10-F19</t>
  </si>
  <si>
    <t>F80-F84, F88-F95, F98</t>
  </si>
  <si>
    <t>F04, F05 (excepted F05.1), F06, F07, F09, F50-F55, F59-F66, F68, F69, F99</t>
  </si>
  <si>
    <t>Antidepressant or mood-regulating treatments (without specific diagnosis)</t>
  </si>
  <si>
    <t>Neuroleptic treatments (without specific diagnosis)</t>
  </si>
  <si>
    <t>Anxiolytic treatments (without specific diagnosis)</t>
  </si>
  <si>
    <t>N05BA01, N05BA04, N05BA05, N05BA06, N05BA08, N05BA09, N05BA11, N05BA12, N05BA16, N05BA18, N05BA21, N05BA23, N05BB01, N05BB02, N05BC01, N05BE01, N05BX03</t>
  </si>
  <si>
    <t>Hypnotic treatments (without specific diagnosis)</t>
  </si>
  <si>
    <t>N05BC51, N05CB02, N05CD02, N05CD03, N05CD04, N05CD05, N05CD06, N05CD07, N05CD11, N05CF01, N05CF02, N05CM11, N05CM16, N05CX</t>
  </si>
  <si>
    <t>F00-F03, G30, F05.1</t>
  </si>
  <si>
    <t>N06DA codes, N06DX01</t>
  </si>
  <si>
    <t>N04BA02, N04BA03, N04BC01, N04BC02, N04BC04 (only those with an indication in Parkinson Disease), N04BC07 (excepted apomorphine), N04BD01, N04BD02, N04BX01, N04BX02, lisuride. Anticholinergics and drugs indicated for neuroleptic-induced parkinsonian syndromes, lactation inhibition or restless legs syndrome are excluded.</t>
  </si>
  <si>
    <t>G35</t>
  </si>
  <si>
    <t>L03AB07, L03AB08, L03AB13, L03AX13, L04AA23, L04AA27, L04AA31, N07XX07, N07XX09</t>
  </si>
  <si>
    <t>G82</t>
  </si>
  <si>
    <t>G70-G73</t>
  </si>
  <si>
    <t>G40, G41</t>
  </si>
  <si>
    <t>Other neurologic conditions</t>
  </si>
  <si>
    <t>B91, Q04-Q07 or long term disease registration for a neurologic disease not identified by other algorithms</t>
  </si>
  <si>
    <t>Chronic respiratory diseases (excluding cystic fibrosis)</t>
  </si>
  <si>
    <t>J40-J47, J96 (excepted J96.0 and J96.9), J98</t>
  </si>
  <si>
    <t>J40-J47, J96, J98</t>
  </si>
  <si>
    <t>R03 codes</t>
  </si>
  <si>
    <t>K50, K51, M07.4, M07.5</t>
  </si>
  <si>
    <t>M05, M06, M08 (excepted M08.1), M09</t>
  </si>
  <si>
    <t>M07 (excepted M07.4 and M07.5), M08.1, M45, M46</t>
  </si>
  <si>
    <t>L93, L94, M30-M36</t>
  </si>
  <si>
    <t>Hereditary metabolic diseases or amyloidosis</t>
  </si>
  <si>
    <t>E85, D51.0-D51.2, D55.2, D74.0, E07.1, E25.0, E70.0-E70.3, E71.0, E71.1, E71.3, E72.0-E72.5, E72.8, E73.0, E74.0-E74.4, E74.8, E75.0-E75.2, E75.4, E75.5, E76.0-E76.2, E77.0 ,E77.1, E77.8, E78.6, E80.0, E80.1, E80.3, E80.5, E80.6, E83.0-E83.2, G60.1, Q77.3, Q87.1</t>
  </si>
  <si>
    <t>E85 or long term disease registration for a hereditary metabolic disease</t>
  </si>
  <si>
    <t>E84</t>
  </si>
  <si>
    <t>D66, D67</t>
  </si>
  <si>
    <t>D66-D69</t>
  </si>
  <si>
    <t>B20-B24, F02.4, Z21</t>
  </si>
  <si>
    <t>J05AF01, J05AF02, J05AF03, J05AF04, J05AF06, J05AF13, J05AG01, J05AG03, J05AG04, J05AG05, J05AG06, J05AR01, J05AR02, J05AR04, J05AE01, J05AE02, J05AE03, J05AE04, J05AE05, J05AE07, J05AE08, J05AE09, J05AE10, J05AR10, J05AR06, J05AR08, J05AR09, J05AR13, J05AR18, J05AR19, J05AR20, J05AR21, J05AR24, J05AX07, J05AX08, J05AX09, J05AX12</t>
  </si>
  <si>
    <t>none</t>
  </si>
  <si>
    <r>
      <t>Z94.0</t>
    </r>
    <r>
      <rPr>
        <vertAlign val="superscript"/>
        <sz val="8"/>
        <color rgb="FF000000"/>
        <rFont val="Times New Roman"/>
        <family val="1"/>
      </rPr>
      <t>d</t>
    </r>
  </si>
  <si>
    <r>
      <t>N18</t>
    </r>
    <r>
      <rPr>
        <vertAlign val="superscript"/>
        <sz val="8"/>
        <color rgb="FF000000"/>
        <rFont val="Times New Roman"/>
        <family val="1"/>
      </rPr>
      <t>d</t>
    </r>
  </si>
  <si>
    <r>
      <t>(L04AA06, L04AA10, L04AA18, L04AD01, L04AD02, L04AX01)</t>
    </r>
    <r>
      <rPr>
        <vertAlign val="superscript"/>
        <sz val="8"/>
        <color rgb="FF000000"/>
        <rFont val="Times New Roman"/>
        <family val="1"/>
      </rPr>
      <t>d</t>
    </r>
  </si>
  <si>
    <t>Liver or pancreas diseases (excluding cystic fibrosis)</t>
  </si>
  <si>
    <t>B18, I85, K70-K76, Z94.4, K85, K86</t>
  </si>
  <si>
    <t>J05AF08, J05AF10, J05AF11, lamivudine, J05AE11, J05AP02, J05AE12, J05AP03, J05AE14, J05AP05, J05AP51, J05AP55, J05AP56, J05AX, J05AX14, J05AX15, J05AP08, J05AX16, J05AP09, J05AX65, J05AX67, J05AP53, J05AX68, or (interferon (L03AB05, L03AB09, L03AB10, L03AB11) AND ribavirine (J05AB04, J05AP01) delivered the same day)</t>
  </si>
  <si>
    <t>Other long term diseases</t>
  </si>
  <si>
    <t>all long term diseases not elsewhere classified</t>
  </si>
  <si>
    <t>Analgesic or NSAI treatment (excl. diseases, other chronic treatments, maternity or hospitalization)</t>
  </si>
  <si>
    <t>M01AA01, M01AB01, M01AB02, M01AB05, M01AB08, M01AB16, M01AB55, M01AC01, M01AC02, M01AC06, M01AE01, M01AE02, M01AE03, M01AE04, M01AE05, M01AE09, M01AE11, M01AE16, M01AG01, M01AH01, M01AH02, M01AH05, M01AX01, M01AX02, M01AX17, M01AX22, M01AB05, M01AE01, M01AE02, M01AE03, M01AE04, M01AG01, M01AX02, M01AX22, N02AA, N02AA01, N02AA03, N02AA05, N02AA08, N02AA59, N02AB02, N02AB03, N02AC01, N02AC04, N02AC54, N02AD01, N02AE01, N02AX02, N02AX52, N02BA01, N02BA10, N02BA15, N02BA51, N02BA71, N02BB02, N02BB52, N02BE01, N02BE05, N02BE51, N02BE71, N02BG04, N02BG06, N02CA01, N02CA04, N02CA07, N02CA52, N02CC01, N02CC02, N02CC03, N02CC04, N02CC05, N02CC06, N02CC07, N02CX01, N02CX06, H02AA02, H02AB01, H02AB02, H02AB04, H02AB05, H02AB06, H02AB07, H02AB08, H02AB09, H02AB10</t>
  </si>
  <si>
    <t xml:space="preserve">Abbreviations: ICD-10: 10th version of international classification of diseases; ATC: Anatomical Therapeutic Chemical </t>
  </si>
  <si>
    <t>* at least three drugs dispensing during the year (six dispensing for "analgesics or non steroidal anti inflammatory drugs"), or two dispensing when at least one concerned the dispensing of a large pack size.</t>
  </si>
  <si>
    <r>
      <t>a</t>
    </r>
    <r>
      <rPr>
        <sz val="10"/>
        <color rgb="FF000000"/>
        <rFont val="Times New Roman"/>
        <family val="1"/>
      </rPr>
      <t xml:space="preserve"> Complications of heart failure, must be associated with I50 as an associated diagnosis.</t>
    </r>
  </si>
  <si>
    <r>
      <t>b</t>
    </r>
    <r>
      <rPr>
        <sz val="10"/>
        <color rgb="FF000000"/>
        <rFont val="Times New Roman"/>
        <family val="1"/>
      </rPr>
      <t xml:space="preserve"> Complications of diabetes, must be associated with E10-E14 as an associated diagnosis.</t>
    </r>
  </si>
  <si>
    <r>
      <t>c</t>
    </r>
    <r>
      <rPr>
        <sz val="10"/>
        <color rgb="FF000000"/>
        <rFont val="Times New Roman"/>
        <family val="1"/>
      </rPr>
      <t xml:space="preserve"> must be associated with specific ICD-10 codes</t>
    </r>
  </si>
  <si>
    <r>
      <t>d</t>
    </r>
    <r>
      <rPr>
        <sz val="10"/>
        <color rgb="FF000000"/>
        <rFont val="Times New Roman"/>
        <family val="1"/>
      </rPr>
      <t xml:space="preserve"> drugs AND ICD-10 code</t>
    </r>
  </si>
  <si>
    <t>Differences between hospital discharge and long term disease lists can be due to the fact that long-term disease are often coded on three digits (versus four or more in hospital discharge database), or to the fact that we know that long term diseases are always chronic, by definition.</t>
  </si>
  <si>
    <t>Supplemental Digital Content 2. 10.1097/MLR.0000000000001745</t>
  </si>
  <si>
    <t xml:space="preserve">Actual total (per study): </t>
  </si>
  <si>
    <t>Total matched:</t>
  </si>
  <si>
    <t>Diff (Actual total - Matched):</t>
  </si>
  <si>
    <t>For the remaining sum, assume population count-based age/sex distribution (2024 EUROSTAT numbers, calculated elsewhere)</t>
  </si>
  <si>
    <t>As for the sector distribution - assume same as total</t>
  </si>
  <si>
    <t>Group in PAID</t>
  </si>
  <si>
    <t>Disease</t>
  </si>
  <si>
    <t>DIS01</t>
  </si>
  <si>
    <t>DIS02</t>
  </si>
  <si>
    <t>DIS03</t>
  </si>
  <si>
    <t>DIS04</t>
  </si>
  <si>
    <t>DIS05</t>
  </si>
  <si>
    <t>DIS06</t>
  </si>
  <si>
    <t>DIS07</t>
  </si>
  <si>
    <t>DIS08</t>
  </si>
  <si>
    <t>DIS09</t>
  </si>
  <si>
    <t>DIS10</t>
  </si>
  <si>
    <t>DIS11</t>
  </si>
  <si>
    <t>DIS12</t>
  </si>
  <si>
    <t>DIS13</t>
  </si>
  <si>
    <t>DIS14</t>
  </si>
  <si>
    <t>DIS15</t>
  </si>
  <si>
    <t>DIS16</t>
  </si>
  <si>
    <t>DIS17</t>
  </si>
  <si>
    <t>DIS18</t>
  </si>
  <si>
    <t>DIS19</t>
  </si>
  <si>
    <t>DIS20</t>
  </si>
  <si>
    <t>DIS21</t>
  </si>
  <si>
    <t>DIS22</t>
  </si>
  <si>
    <t>DIS23</t>
  </si>
  <si>
    <t>DIS24</t>
  </si>
  <si>
    <t>DIS25</t>
  </si>
  <si>
    <t>DIS26</t>
  </si>
  <si>
    <t>DIS27</t>
  </si>
  <si>
    <t>DIS28</t>
  </si>
  <si>
    <t>DIS29</t>
  </si>
  <si>
    <t>DIS30</t>
  </si>
  <si>
    <t>DIS31</t>
  </si>
  <si>
    <t>DIS32</t>
  </si>
  <si>
    <t>DIS33</t>
  </si>
  <si>
    <t>DIS34</t>
  </si>
  <si>
    <t>DIS35</t>
  </si>
  <si>
    <t>DIS36</t>
  </si>
  <si>
    <t>DIS37</t>
  </si>
  <si>
    <t>DIS38</t>
  </si>
  <si>
    <t>DIS39</t>
  </si>
  <si>
    <t>DIS40</t>
  </si>
  <si>
    <t>DIS41</t>
  </si>
  <si>
    <t>DIS42</t>
  </si>
  <si>
    <t>DIS43</t>
  </si>
  <si>
    <t>DIS44</t>
  </si>
  <si>
    <t>DIS45</t>
  </si>
  <si>
    <t>DIS46</t>
  </si>
  <si>
    <t>DIS47</t>
  </si>
  <si>
    <t>DIS48</t>
  </si>
  <si>
    <t>DIS49</t>
  </si>
  <si>
    <t>DIS50</t>
  </si>
  <si>
    <t>DIS51</t>
  </si>
  <si>
    <t>DIS52</t>
  </si>
  <si>
    <t>DIS53</t>
  </si>
  <si>
    <t>DIS54</t>
  </si>
  <si>
    <t>DIS55</t>
  </si>
  <si>
    <t>DIS56</t>
  </si>
  <si>
    <t>DIS00</t>
  </si>
  <si>
    <t>Total minus listed diseases</t>
  </si>
  <si>
    <t>Total cost (in billion)</t>
  </si>
  <si>
    <t>Check</t>
  </si>
  <si>
    <t>Total costs in billion attributed to sex/age groups</t>
  </si>
  <si>
    <t>Code in PAID</t>
  </si>
  <si>
    <t>HC</t>
  </si>
  <si>
    <t>MED</t>
  </si>
  <si>
    <t>GP</t>
  </si>
  <si>
    <t>Other</t>
  </si>
  <si>
    <t>Cost attributed to provider</t>
  </si>
  <si>
    <t>Equals 1?</t>
  </si>
  <si>
    <t>Equals 1? After standartization</t>
  </si>
  <si>
    <t>Men_0to14</t>
  </si>
  <si>
    <t>Men_14to34</t>
  </si>
  <si>
    <t>Men_35to54</t>
  </si>
  <si>
    <t>Men_55to64</t>
  </si>
  <si>
    <t>Men_65to74</t>
  </si>
  <si>
    <t>Men_75</t>
  </si>
  <si>
    <t>Women_0to14</t>
  </si>
  <si>
    <t>Women_14to34</t>
  </si>
  <si>
    <t>Women_35to54</t>
  </si>
  <si>
    <t>Women_55to64</t>
  </si>
  <si>
    <t>Women_65to74</t>
  </si>
  <si>
    <t>Women_75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</si>
</sst>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
      <b/>
      <sz val="14"/>
      <color theme="1"/>
      <name val="Calibri"/>
      <family val="2"/>
      <scheme val="minor"/>
    </font>
    <font>
      <b/>
      <sz val="11"/>
      <name val="Calibri"/>
      <family val="2"/>
      <scheme val="minor"/>
    </font>
    <font>
      <b/>
      <sz val="8"/>
      <color rgb="FF000000"/>
      <name val="Times New Roman"/>
      <family val="1"/>
    </font>
    <font>
      <sz val="8"/>
      <color rgb="FF000000"/>
      <name val="Times New Roman"/>
      <family val="1"/>
    </font>
    <font>
      <vertAlign val="superscript"/>
      <sz val="8"/>
      <color rgb="FF000000"/>
      <name val="Times New Roman"/>
      <family val="1"/>
    </font>
    <font>
      <sz val="10"/>
      <color rgb="FF000000"/>
      <name val="Times New Roman"/>
      <family val="1"/>
    </font>
    <font>
      <vertAlign val="superscript"/>
      <sz val="10"/>
      <color rgb="FF000000"/>
      <name val="Times New Roman"/>
      <family val="1"/>
    </font>
    <font>
      <sz val="8"/>
      <name val="Calibri"/>
      <family val="2"/>
      <scheme val="minor"/>
    </font>
    <font>
      <b/>
      <sz val="11"/>
      <color rgb="FF00B050"/>
      <name val="Arial"/>
      <family val="2"/>
    </font>
    <font>
      <b/>
      <sz val="11"/>
      <color rgb="FFC00000"/>
      <name val="Calibri"/>
      <family val="2"/>
      <scheme val="minor"/>
    </font>
    <font>
      <sz val="11"/>
      <name val="Calibri"/>
      <family val="2"/>
      <scheme val="minor"/>
    </font>
  </fonts>
  <fills count="6">
    <fill>
      <patternFill patternType="none"/>
    </fill>
    <fill>
      <patternFill patternType="gray125"/>
    </fill>
    <fill>
      <patternFill patternType="solid">
        <fgColor theme="3" tint="0.39997558519241921"/>
        <bgColor indexed="64"/>
      </patternFill>
    </fill>
    <fill>
      <patternFill patternType="solid">
        <fgColor rgb="FFFFC000"/>
        <bgColor indexed="64"/>
      </patternFill>
    </fill>
    <fill>
      <patternFill patternType="solid">
        <fgColor theme="6" tint="-0.249977111117893"/>
        <bgColor indexed="64"/>
      </patternFill>
    </fill>
    <fill>
      <patternFill patternType="solid">
        <fgColor theme="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top style="thin">
        <color indexed="64"/>
      </top>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style="medium">
        <color rgb="FF000000"/>
      </bottom>
      <diagonal/>
    </border>
    <border>
      <left/>
      <right style="medium">
        <color indexed="64"/>
      </right>
      <top/>
      <bottom/>
      <diagonal/>
    </border>
    <border>
      <left/>
      <right style="medium">
        <color rgb="FF000000"/>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medium">
        <color indexed="64"/>
      </top>
      <bottom/>
      <diagonal/>
    </border>
    <border>
      <left/>
      <right style="medium">
        <color rgb="FF000000"/>
      </right>
      <top style="medium">
        <color indexed="64"/>
      </top>
      <bottom/>
      <diagonal/>
    </border>
    <border>
      <left style="medium">
        <color indexed="64"/>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top/>
      <bottom style="thin">
        <color indexed="64"/>
      </bottom>
      <diagonal/>
    </border>
  </borders>
  <cellStyleXfs count="2">
    <xf numFmtId="0" fontId="0" fillId="0" borderId="0"/>
    <xf numFmtId="9" fontId="2" fillId="0" borderId="0" applyFont="0" applyFill="0" applyBorder="0" applyAlignment="0" applyProtection="0"/>
  </cellStyleXfs>
  <cellXfs count="57">
    <xf numFmtId="0" fontId="0" fillId="0" borderId="0" xfId="0"/>
    <xf numFmtId="9" fontId="0" fillId="0" borderId="0" xfId="1" applyFont="1"/>
    <xf numFmtId="2" fontId="0" fillId="0" borderId="0" xfId="1" applyNumberFormat="1" applyFont="1"/>
    <xf numFmtId="0" fontId="1" fillId="0" borderId="1" xfId="0" applyFont="1" applyBorder="1" applyAlignment="1">
      <alignment horizontal="center" vertical="center" wrapText="1"/>
    </xf>
    <xf numFmtId="0" fontId="1" fillId="5" borderId="1" xfId="0" applyFont="1" applyFill="1" applyBorder="1" applyAlignment="1">
      <alignment horizontal="center" vertical="center" wrapText="1"/>
    </xf>
    <xf numFmtId="2" fontId="1" fillId="3" borderId="0" xfId="1" applyNumberFormat="1" applyFont="1" applyFill="1" applyAlignment="1">
      <alignment vertical="center" wrapText="1"/>
    </xf>
    <xf numFmtId="0" fontId="1" fillId="4" borderId="1" xfId="0" applyFont="1" applyFill="1" applyBorder="1" applyAlignment="1">
      <alignment horizontal="center" vertical="center" wrapText="1"/>
    </xf>
    <xf numFmtId="9" fontId="1" fillId="4" borderId="1" xfId="1" applyFont="1" applyFill="1" applyBorder="1" applyAlignment="1">
      <alignment horizontal="center" vertical="center" wrapText="1"/>
    </xf>
    <xf numFmtId="9" fontId="1" fillId="3" borderId="1" xfId="1" applyFont="1" applyFill="1" applyBorder="1" applyAlignment="1">
      <alignment horizontal="center" vertical="center" wrapText="1"/>
    </xf>
    <xf numFmtId="0" fontId="0" fillId="0" borderId="0" xfId="0" applyAlignment="1">
      <alignment vertical="center" wrapText="1"/>
    </xf>
    <xf numFmtId="0" fontId="1" fillId="2" borderId="6" xfId="0" applyFont="1" applyFill="1" applyBorder="1" applyAlignment="1">
      <alignment vertical="center" wrapText="1"/>
    </xf>
    <xf numFmtId="0" fontId="1" fillId="2" borderId="7" xfId="0" applyFont="1" applyFill="1" applyBorder="1" applyAlignment="1">
      <alignment vertical="center" wrapText="1"/>
    </xf>
    <xf numFmtId="9" fontId="1" fillId="2" borderId="7" xfId="1" applyFont="1" applyFill="1" applyBorder="1" applyAlignment="1">
      <alignment vertical="center" wrapText="1"/>
    </xf>
    <xf numFmtId="0" fontId="7" fillId="0" borderId="9" xfId="0" applyFont="1" applyBorder="1" applyAlignment="1">
      <alignment vertical="center" wrapText="1"/>
    </xf>
    <xf numFmtId="0" fontId="7" fillId="0" borderId="11" xfId="0" applyFont="1" applyBorder="1" applyAlignment="1">
      <alignment vertical="center"/>
    </xf>
    <xf numFmtId="0" fontId="7" fillId="0" borderId="9" xfId="0" applyFont="1" applyBorder="1" applyAlignment="1">
      <alignment vertical="center"/>
    </xf>
    <xf numFmtId="0" fontId="7" fillId="0" borderId="11" xfId="0" applyFont="1" applyBorder="1" applyAlignment="1">
      <alignment vertical="center" wrapText="1"/>
    </xf>
    <xf numFmtId="0" fontId="0" fillId="0" borderId="0" xfId="0" applyAlignment="1">
      <alignment vertical="center"/>
    </xf>
    <xf numFmtId="0" fontId="7" fillId="0" borderId="8" xfId="0" applyFont="1" applyBorder="1" applyAlignment="1">
      <alignment vertical="center"/>
    </xf>
    <xf numFmtId="0" fontId="7" fillId="0" borderId="8" xfId="0" applyFont="1" applyBorder="1" applyAlignment="1">
      <alignment vertical="center" wrapText="1"/>
    </xf>
    <xf numFmtId="0" fontId="7" fillId="0" borderId="18" xfId="0" applyFont="1" applyBorder="1" applyAlignment="1">
      <alignment vertical="center"/>
    </xf>
    <xf numFmtId="0" fontId="7" fillId="0" borderId="19" xfId="0" applyFont="1" applyBorder="1" applyAlignment="1">
      <alignment vertical="center"/>
    </xf>
    <xf numFmtId="0" fontId="7" fillId="0" borderId="20" xfId="0" applyFont="1" applyBorder="1" applyAlignment="1">
      <alignment vertical="center"/>
    </xf>
    <xf numFmtId="0" fontId="7" fillId="0" borderId="14" xfId="0" applyFont="1" applyBorder="1" applyAlignment="1">
      <alignment vertical="center"/>
    </xf>
    <xf numFmtId="0" fontId="7" fillId="0" borderId="16" xfId="0" applyFont="1" applyBorder="1" applyAlignment="1">
      <alignment vertical="center"/>
    </xf>
    <xf numFmtId="0" fontId="7" fillId="0" borderId="21" xfId="0" applyFont="1" applyBorder="1" applyAlignment="1">
      <alignment vertical="center"/>
    </xf>
    <xf numFmtId="0" fontId="7" fillId="0" borderId="15" xfId="0" applyFont="1" applyBorder="1" applyAlignment="1">
      <alignment vertical="center"/>
    </xf>
    <xf numFmtId="0" fontId="1" fillId="0" borderId="0" xfId="0" applyFont="1"/>
    <xf numFmtId="0" fontId="12" fillId="0" borderId="0" xfId="0" applyFont="1"/>
    <xf numFmtId="0" fontId="0" fillId="0" borderId="0" xfId="0" applyAlignment="1">
      <alignment horizontal="center"/>
    </xf>
    <xf numFmtId="0" fontId="1" fillId="0" borderId="23" xfId="0" applyFont="1" applyBorder="1"/>
    <xf numFmtId="0" fontId="13"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14" fillId="0" borderId="0" xfId="0" applyFont="1"/>
    <xf numFmtId="0" fontId="1" fillId="0" borderId="0" xfId="0" applyFont="1" applyAlignment="1">
      <alignment horizontal="center"/>
    </xf>
    <xf numFmtId="0" fontId="1" fillId="5"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0" xfId="0" applyFont="1" applyFill="1" applyAlignment="1">
      <alignment horizontal="center" vertical="center" wrapText="1"/>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5" fillId="0" borderId="15" xfId="0" applyFont="1" applyBorder="1" applyAlignment="1">
      <alignment horizontal="center" vertical="center" wrapText="1"/>
    </xf>
    <xf numFmtId="0" fontId="9" fillId="0" borderId="0" xfId="0" applyFont="1" applyAlignment="1">
      <alignment vertical="center" wrapText="1"/>
    </xf>
    <xf numFmtId="0" fontId="10" fillId="0" borderId="0" xfId="0" applyFont="1" applyAlignment="1">
      <alignment vertical="center" wrapText="1"/>
    </xf>
    <xf numFmtId="0" fontId="7" fillId="0" borderId="16" xfId="0" applyFont="1" applyBorder="1" applyAlignment="1">
      <alignment horizontal="center" vertical="center"/>
    </xf>
    <xf numFmtId="0" fontId="7" fillId="0" borderId="22" xfId="0" applyFont="1" applyBorder="1" applyAlignment="1">
      <alignment horizontal="center" vertical="center"/>
    </xf>
    <xf numFmtId="0" fontId="7" fillId="0" borderId="17" xfId="0" applyFont="1" applyBorder="1" applyAlignment="1">
      <alignment horizontal="center" vertical="center"/>
    </xf>
    <xf numFmtId="0" fontId="9" fillId="0" borderId="21" xfId="0" applyFont="1" applyBorder="1" applyAlignment="1">
      <alignment vertical="center" wrapText="1"/>
    </xf>
    <xf numFmtId="0" fontId="7" fillId="0" borderId="10" xfId="0" applyFont="1" applyBorder="1" applyAlignment="1">
      <alignment vertical="center" wrapText="1"/>
    </xf>
    <xf numFmtId="0" fontId="7" fillId="0" borderId="13" xfId="0" applyFont="1" applyBorder="1" applyAlignment="1">
      <alignment vertical="center" wrapText="1"/>
    </xf>
    <xf numFmtId="0" fontId="7" fillId="0" borderId="12" xfId="0" applyFont="1" applyBorder="1" applyAlignment="1">
      <alignment vertical="center" wrapText="1"/>
    </xf>
    <xf numFmtId="0" fontId="6" fillId="0" borderId="8" xfId="0" applyFont="1" applyBorder="1" applyAlignment="1">
      <alignment vertical="center" wrapText="1"/>
    </xf>
    <xf numFmtId="0" fontId="6" fillId="0" borderId="9" xfId="0" applyFont="1" applyBorder="1" applyAlignment="1">
      <alignment vertical="center" wrapText="1"/>
    </xf>
    <xf numFmtId="0" fontId="0" fillId="0" borderId="0" xfId="0" applyAlignment="1">
      <alignment vertical="center" wrapText="1"/>
    </xf>
    <xf numFmtId="0" fontId="0" fillId="0" borderId="0" xfId="0" applyAlignment="1">
      <alignment horizontal="left" indent="2"/>
    </xf>
  </cellXfs>
  <cellStyles count="2">
    <cellStyle name="Normal" xfId="0" builtinId="0"/>
    <cellStyle name="Percent" xfId="1" builtinId="5"/>
  </cellStyles>
  <dxfs count="1">
    <dxf>
      <fill>
        <patternFill>
          <bgColor rgb="FF92D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5A7A2-201B-43D0-AFCF-20ADCBE2D756}">
  <dimension ref="A1:R58"/>
  <sheetViews>
    <sheetView workbookViewId="0">
      <selection activeCell="D2" sqref="D2"/>
    </sheetView>
  </sheetViews>
  <sheetFormatPr defaultRowHeight="15" x14ac:dyDescent="0.25"/>
  <cols>
    <col min="2" max="2" width="50.140625" bestFit="1" customWidth="1"/>
  </cols>
  <sheetData>
    <row r="1" spans="1:18" x14ac:dyDescent="0.25">
      <c r="A1" t="s">
        <v>306</v>
      </c>
      <c r="B1" t="s">
        <v>244</v>
      </c>
      <c r="C1" t="s">
        <v>314</v>
      </c>
      <c r="D1" t="s">
        <v>315</v>
      </c>
      <c r="E1" t="s">
        <v>316</v>
      </c>
      <c r="F1" t="s">
        <v>317</v>
      </c>
      <c r="G1" t="s">
        <v>318</v>
      </c>
      <c r="H1" t="s">
        <v>319</v>
      </c>
      <c r="I1" t="s">
        <v>320</v>
      </c>
      <c r="J1" t="s">
        <v>321</v>
      </c>
      <c r="K1" t="s">
        <v>322</v>
      </c>
      <c r="L1" t="s">
        <v>323</v>
      </c>
      <c r="M1" t="s">
        <v>324</v>
      </c>
      <c r="N1" t="s">
        <v>325</v>
      </c>
      <c r="O1" t="s">
        <v>307</v>
      </c>
      <c r="P1" t="s">
        <v>308</v>
      </c>
      <c r="Q1" t="s">
        <v>309</v>
      </c>
      <c r="R1" t="s">
        <v>310</v>
      </c>
    </row>
    <row r="2" spans="1:18" x14ac:dyDescent="0.25">
      <c r="A2" t="s">
        <v>301</v>
      </c>
      <c r="B2" t="s">
        <v>302</v>
      </c>
      <c r="C2">
        <v>1.3920218051999977</v>
      </c>
      <c r="D2">
        <v>1.8719944331999969</v>
      </c>
      <c r="E2">
        <v>1.942505135999997</v>
      </c>
      <c r="F2">
        <v>0.96720109739999838</v>
      </c>
      <c r="G2">
        <v>0.81530588999999865</v>
      </c>
      <c r="H2">
        <v>0.65712699809999886</v>
      </c>
      <c r="I2">
        <v>1.3265233466999977</v>
      </c>
      <c r="J2">
        <v>1.8428153390999968</v>
      </c>
      <c r="K2">
        <v>2.0309048537999965</v>
      </c>
      <c r="L2">
        <v>1.0352240966999984</v>
      </c>
      <c r="M2">
        <v>0.94421794229999845</v>
      </c>
      <c r="N2">
        <v>0.98415906149999843</v>
      </c>
      <c r="O2">
        <v>0.48347290154887423</v>
      </c>
      <c r="P2">
        <v>0.14541119177032474</v>
      </c>
      <c r="Q2">
        <v>0.23377719609450207</v>
      </c>
      <c r="R2">
        <v>0.13733871058629887</v>
      </c>
    </row>
    <row r="3" spans="1:18" x14ac:dyDescent="0.25">
      <c r="A3" t="s">
        <v>245</v>
      </c>
      <c r="B3" t="s">
        <v>25</v>
      </c>
      <c r="C3">
        <v>4.8541114058355435E-3</v>
      </c>
      <c r="D3">
        <v>9.627320954907162E-2</v>
      </c>
      <c r="E3">
        <v>0.3770026525198939</v>
      </c>
      <c r="F3">
        <v>0.2273342175066313</v>
      </c>
      <c r="G3">
        <v>8.4137931034482763E-2</v>
      </c>
      <c r="H3">
        <v>2.3461538461538461E-2</v>
      </c>
      <c r="I3">
        <v>4.8541114058355435E-3</v>
      </c>
      <c r="J3">
        <v>5.3395225464190982E-2</v>
      </c>
      <c r="K3">
        <v>0.22652519893899203</v>
      </c>
      <c r="L3">
        <v>8.4946949602122013E-2</v>
      </c>
      <c r="M3">
        <v>2.7506631299734748E-2</v>
      </c>
      <c r="N3">
        <v>9.708222811671087E-3</v>
      </c>
      <c r="O3">
        <v>0.37256116094236036</v>
      </c>
      <c r="P3">
        <v>0.48688992647106383</v>
      </c>
      <c r="Q3">
        <v>0.10829997477899285</v>
      </c>
      <c r="R3">
        <v>3.2248937807583124E-2</v>
      </c>
    </row>
    <row r="4" spans="1:18" x14ac:dyDescent="0.25">
      <c r="A4" t="s">
        <v>246</v>
      </c>
      <c r="B4" t="s">
        <v>1</v>
      </c>
      <c r="C4">
        <v>0</v>
      </c>
      <c r="D4">
        <v>7.4792066538707618E-3</v>
      </c>
      <c r="E4">
        <v>8.2271273192578376E-2</v>
      </c>
      <c r="F4">
        <v>0.17629558541266796</v>
      </c>
      <c r="G4">
        <v>0.32481126039667307</v>
      </c>
      <c r="H4">
        <v>0.34511196417146511</v>
      </c>
      <c r="I4">
        <v>0</v>
      </c>
      <c r="J4">
        <v>7.4792066538707618E-3</v>
      </c>
      <c r="K4">
        <v>8.1202815099168268E-2</v>
      </c>
      <c r="L4">
        <v>0.13355726167626358</v>
      </c>
      <c r="M4">
        <v>0.21262316058861164</v>
      </c>
      <c r="N4">
        <v>0.30023672424824055</v>
      </c>
      <c r="O4">
        <v>0.74102055450932558</v>
      </c>
      <c r="P4">
        <v>5.3122047006628106E-2</v>
      </c>
      <c r="Q4">
        <v>0.16916756582871464</v>
      </c>
      <c r="R4">
        <v>3.6689832655331642E-2</v>
      </c>
    </row>
    <row r="5" spans="1:18" x14ac:dyDescent="0.25">
      <c r="A5" t="s">
        <v>247</v>
      </c>
      <c r="B5" t="s">
        <v>19</v>
      </c>
      <c r="C5">
        <v>0</v>
      </c>
      <c r="D5">
        <v>6.0356652949245546E-4</v>
      </c>
      <c r="E5">
        <v>6.5386374028349337E-3</v>
      </c>
      <c r="F5">
        <v>1.7402834933699131E-2</v>
      </c>
      <c r="G5">
        <v>3.7421124828532236E-2</v>
      </c>
      <c r="H5">
        <v>5.1705532693187013E-2</v>
      </c>
      <c r="I5">
        <v>0</v>
      </c>
      <c r="J5">
        <v>8.0475537265660728E-4</v>
      </c>
      <c r="K5">
        <v>7.242798353909465E-3</v>
      </c>
      <c r="L5">
        <v>1.5089163237311385E-2</v>
      </c>
      <c r="M5">
        <v>2.7663465935070873E-2</v>
      </c>
      <c r="N5">
        <v>5.5427526291723823E-2</v>
      </c>
      <c r="O5">
        <v>0.10384531827069303</v>
      </c>
      <c r="P5">
        <v>0.75765962337102144</v>
      </c>
      <c r="Q5">
        <v>0.13152732779819085</v>
      </c>
      <c r="R5">
        <v>6.9677305600947086E-3</v>
      </c>
    </row>
    <row r="6" spans="1:18" x14ac:dyDescent="0.25">
      <c r="A6" t="s">
        <v>248</v>
      </c>
      <c r="B6" t="s">
        <v>3</v>
      </c>
      <c r="C6">
        <v>0</v>
      </c>
      <c r="D6">
        <v>4.5921450151057393E-3</v>
      </c>
      <c r="E6">
        <v>0.12628398791540785</v>
      </c>
      <c r="F6">
        <v>0.35589123867069489</v>
      </c>
      <c r="G6">
        <v>0.56253776435045311</v>
      </c>
      <c r="H6">
        <v>0.39262839879154077</v>
      </c>
      <c r="I6">
        <v>0</v>
      </c>
      <c r="J6">
        <v>4.5921450151057393E-3</v>
      </c>
      <c r="K6">
        <v>0.10561933534743202</v>
      </c>
      <c r="L6">
        <v>0.24108761329305131</v>
      </c>
      <c r="M6">
        <v>0.27552870090634435</v>
      </c>
      <c r="N6">
        <v>0.21353474320241692</v>
      </c>
      <c r="O6">
        <v>0.66430479033984524</v>
      </c>
      <c r="P6">
        <v>0.18309240225823659</v>
      </c>
      <c r="Q6">
        <v>0.1119327111368868</v>
      </c>
      <c r="R6">
        <v>4.067009626503134E-2</v>
      </c>
    </row>
    <row r="7" spans="1:18" x14ac:dyDescent="0.25">
      <c r="A7" t="s">
        <v>249</v>
      </c>
      <c r="B7" t="s">
        <v>22</v>
      </c>
      <c r="C7">
        <v>0</v>
      </c>
      <c r="D7">
        <v>1.7208413001912047E-4</v>
      </c>
      <c r="E7">
        <v>3.2695984703632885E-3</v>
      </c>
      <c r="F7">
        <v>1.135755258126195E-2</v>
      </c>
      <c r="G7">
        <v>2.1682600382409177E-2</v>
      </c>
      <c r="H7">
        <v>1.9445506692160611E-2</v>
      </c>
      <c r="I7">
        <v>0</v>
      </c>
      <c r="J7">
        <v>3.4416826003824094E-4</v>
      </c>
      <c r="K7">
        <v>3.2695984703632885E-3</v>
      </c>
      <c r="L7">
        <v>8.2600382409177813E-3</v>
      </c>
      <c r="M7">
        <v>1.118546845124283E-2</v>
      </c>
      <c r="N7">
        <v>1.0841300191204589E-2</v>
      </c>
      <c r="O7">
        <v>0.3154329965397214</v>
      </c>
      <c r="P7">
        <v>0.23143082136087192</v>
      </c>
      <c r="Q7">
        <v>0.28558200142104845</v>
      </c>
      <c r="R7">
        <v>0.16755418067835826</v>
      </c>
    </row>
    <row r="8" spans="1:18" x14ac:dyDescent="0.25">
      <c r="A8" t="s">
        <v>250</v>
      </c>
      <c r="B8" t="s">
        <v>2</v>
      </c>
      <c r="C8">
        <v>0</v>
      </c>
      <c r="D8">
        <v>0</v>
      </c>
      <c r="E8">
        <v>0</v>
      </c>
      <c r="F8">
        <v>0</v>
      </c>
      <c r="G8">
        <v>0</v>
      </c>
      <c r="H8">
        <v>0</v>
      </c>
      <c r="I8">
        <v>0</v>
      </c>
      <c r="J8">
        <v>3.9711007224819378E-2</v>
      </c>
      <c r="K8">
        <v>0.76940076498087551</v>
      </c>
      <c r="L8">
        <v>0.63909902252443684</v>
      </c>
      <c r="M8">
        <v>0.78429239269018269</v>
      </c>
      <c r="N8">
        <v>0.68501487462813426</v>
      </c>
      <c r="O8">
        <v>0.50196834006119306</v>
      </c>
      <c r="P8">
        <v>0.20562550253395306</v>
      </c>
      <c r="Q8">
        <v>0.21594494197756253</v>
      </c>
      <c r="R8">
        <v>7.6461215427291326E-2</v>
      </c>
    </row>
    <row r="9" spans="1:18" x14ac:dyDescent="0.25">
      <c r="A9" t="s">
        <v>251</v>
      </c>
      <c r="B9" t="s">
        <v>20</v>
      </c>
      <c r="C9">
        <v>0</v>
      </c>
      <c r="D9">
        <v>0</v>
      </c>
      <c r="E9">
        <v>0</v>
      </c>
      <c r="F9">
        <v>0</v>
      </c>
      <c r="G9">
        <v>0</v>
      </c>
      <c r="H9">
        <v>0</v>
      </c>
      <c r="I9">
        <v>0</v>
      </c>
      <c r="J9">
        <v>1.5322089006299532E-3</v>
      </c>
      <c r="K9">
        <v>8.1560658402763664E-2</v>
      </c>
      <c r="L9">
        <v>0.12387319650477543</v>
      </c>
      <c r="M9">
        <v>0.17054663686242633</v>
      </c>
      <c r="N9">
        <v>0.20236943710627922</v>
      </c>
      <c r="O9">
        <v>0.27906375850158255</v>
      </c>
      <c r="P9">
        <v>2.4646119457694751E-2</v>
      </c>
      <c r="Q9">
        <v>0.67987311814087292</v>
      </c>
      <c r="R9">
        <v>1.6417003899849701E-2</v>
      </c>
    </row>
    <row r="10" spans="1:18" x14ac:dyDescent="0.25">
      <c r="A10" t="s">
        <v>252</v>
      </c>
      <c r="B10" t="s">
        <v>4</v>
      </c>
      <c r="C10">
        <v>0</v>
      </c>
      <c r="D10">
        <v>0</v>
      </c>
      <c r="E10">
        <v>3.3038528896672505E-2</v>
      </c>
      <c r="F10">
        <v>0.21845884413309982</v>
      </c>
      <c r="G10">
        <v>0.57985989492119094</v>
      </c>
      <c r="H10">
        <v>0.70796847635726801</v>
      </c>
      <c r="I10">
        <v>0</v>
      </c>
      <c r="J10">
        <v>0</v>
      </c>
      <c r="K10">
        <v>0</v>
      </c>
      <c r="L10">
        <v>0</v>
      </c>
      <c r="M10">
        <v>0</v>
      </c>
      <c r="N10">
        <v>0</v>
      </c>
      <c r="O10">
        <v>0.33284720085403952</v>
      </c>
      <c r="P10">
        <v>0.36292126171102851</v>
      </c>
      <c r="Q10">
        <v>0.28134750339716175</v>
      </c>
      <c r="R10">
        <v>2.288403403777025E-2</v>
      </c>
    </row>
    <row r="11" spans="1:18" x14ac:dyDescent="0.25">
      <c r="A11" t="s">
        <v>253</v>
      </c>
      <c r="B11" t="s">
        <v>24</v>
      </c>
      <c r="C11">
        <v>0</v>
      </c>
      <c r="D11">
        <v>3.0546623794212217E-4</v>
      </c>
      <c r="E11">
        <v>6.1093247588424439E-3</v>
      </c>
      <c r="F11">
        <v>9.041800643086817E-2</v>
      </c>
      <c r="G11">
        <v>0.34334405144694535</v>
      </c>
      <c r="H11">
        <v>0.51012861736334403</v>
      </c>
      <c r="I11">
        <v>0</v>
      </c>
      <c r="J11">
        <v>0</v>
      </c>
      <c r="K11">
        <v>0</v>
      </c>
      <c r="L11">
        <v>0</v>
      </c>
      <c r="M11">
        <v>0</v>
      </c>
      <c r="N11">
        <v>0</v>
      </c>
      <c r="O11">
        <v>0.12189225148797454</v>
      </c>
      <c r="P11">
        <v>0.80800339615413153</v>
      </c>
      <c r="Q11">
        <v>4.6952521143993141E-2</v>
      </c>
      <c r="R11">
        <v>2.3151831213900763E-2</v>
      </c>
    </row>
    <row r="12" spans="1:18" x14ac:dyDescent="0.25">
      <c r="A12" t="s">
        <v>254</v>
      </c>
      <c r="B12" t="s">
        <v>36</v>
      </c>
      <c r="C12">
        <v>4.9643727161997567E-2</v>
      </c>
      <c r="D12">
        <v>0.14844447827852214</v>
      </c>
      <c r="E12">
        <v>0.56700923670320746</v>
      </c>
      <c r="F12">
        <v>0.83737286845310599</v>
      </c>
      <c r="G12">
        <v>1.4146028725131954</v>
      </c>
      <c r="H12">
        <v>1.9098233861144944</v>
      </c>
      <c r="I12">
        <v>3.9422959805115711E-2</v>
      </c>
      <c r="J12">
        <v>0.21244595006090133</v>
      </c>
      <c r="K12">
        <v>0.7556067295980512</v>
      </c>
      <c r="L12">
        <v>0.7475761266747869</v>
      </c>
      <c r="M12">
        <v>1.1157671031262688</v>
      </c>
      <c r="N12">
        <v>1.7883909358505887</v>
      </c>
      <c r="O12">
        <v>0.62013889100173347</v>
      </c>
      <c r="P12">
        <v>0.22908800546222494</v>
      </c>
      <c r="Q12">
        <v>0.11494550731893449</v>
      </c>
      <c r="R12">
        <v>3.5827596217107072E-2</v>
      </c>
    </row>
    <row r="13" spans="1:18" x14ac:dyDescent="0.25">
      <c r="A13" t="s">
        <v>255</v>
      </c>
      <c r="B13" t="s">
        <v>23</v>
      </c>
      <c r="C13">
        <v>4.0382571732199791E-3</v>
      </c>
      <c r="D13">
        <v>1.4748417502194706E-2</v>
      </c>
      <c r="E13">
        <v>5.5262671533521233E-2</v>
      </c>
      <c r="F13">
        <v>7.3039781915630916E-2</v>
      </c>
      <c r="G13">
        <v>0.12672226585963128</v>
      </c>
      <c r="H13">
        <v>0.18558425356928338</v>
      </c>
      <c r="I13">
        <v>3.2920574781684611E-3</v>
      </c>
      <c r="J13">
        <v>2.155200295707619E-2</v>
      </c>
      <c r="K13">
        <v>8.4101095042276947E-2</v>
      </c>
      <c r="L13">
        <v>7.6990250889433079E-2</v>
      </c>
      <c r="M13">
        <v>0.11043755486762463</v>
      </c>
      <c r="N13">
        <v>0.19423139121193919</v>
      </c>
      <c r="O13">
        <v>0.1115951681643319</v>
      </c>
      <c r="P13">
        <v>0.19521511422654597</v>
      </c>
      <c r="Q13">
        <v>0.43675594425700881</v>
      </c>
      <c r="R13">
        <v>0.25643377335211331</v>
      </c>
    </row>
    <row r="14" spans="1:18" x14ac:dyDescent="0.25">
      <c r="A14" t="s">
        <v>256</v>
      </c>
      <c r="B14" t="s">
        <v>27</v>
      </c>
      <c r="C14">
        <v>2.7242647058823524E-2</v>
      </c>
      <c r="D14">
        <v>4.5055147058823526E-2</v>
      </c>
      <c r="E14">
        <v>6.7058823529411754E-2</v>
      </c>
      <c r="F14">
        <v>4.400735294117647E-2</v>
      </c>
      <c r="G14">
        <v>4.9246323529411759E-2</v>
      </c>
      <c r="H14">
        <v>4.2959558823529413E-2</v>
      </c>
      <c r="I14">
        <v>1.0477941176470587E-2</v>
      </c>
      <c r="J14">
        <v>4.191176470588235E-2</v>
      </c>
      <c r="K14">
        <v>8.6966911764705876E-2</v>
      </c>
      <c r="L14">
        <v>4.9246323529411759E-2</v>
      </c>
      <c r="M14">
        <v>4.8198529411764703E-2</v>
      </c>
      <c r="N14">
        <v>5.7628676470588225E-2</v>
      </c>
      <c r="O14">
        <v>0.7526676885938719</v>
      </c>
      <c r="P14">
        <v>2.8103890710012021E-2</v>
      </c>
      <c r="Q14">
        <v>0.11830618529396075</v>
      </c>
      <c r="R14">
        <v>0.10092223540215532</v>
      </c>
    </row>
    <row r="15" spans="1:18" x14ac:dyDescent="0.25">
      <c r="A15" t="s">
        <v>257</v>
      </c>
      <c r="B15" t="s">
        <v>17</v>
      </c>
      <c r="C15">
        <v>1.8142307594324E-2</v>
      </c>
      <c r="D15">
        <v>8.9618627875576395E-2</v>
      </c>
      <c r="E15">
        <v>0.63410643772450515</v>
      </c>
      <c r="F15">
        <v>1.089412783736275</v>
      </c>
      <c r="G15">
        <v>1.5781621786869793</v>
      </c>
      <c r="H15">
        <v>1.3060275647721193</v>
      </c>
      <c r="I15">
        <v>1.6830815479071663E-2</v>
      </c>
      <c r="J15">
        <v>0.10098489287442998</v>
      </c>
      <c r="K15">
        <v>0.49377678139250503</v>
      </c>
      <c r="L15">
        <v>0.76503706723053011</v>
      </c>
      <c r="M15">
        <v>1.1073365093113903</v>
      </c>
      <c r="N15">
        <v>1.3805640333222939</v>
      </c>
      <c r="O15">
        <v>0.30879215047774111</v>
      </c>
      <c r="P15">
        <v>0.28069192124769698</v>
      </c>
      <c r="Q15">
        <v>0.29210254295385407</v>
      </c>
      <c r="R15">
        <v>0.11841338532070783</v>
      </c>
    </row>
    <row r="16" spans="1:18" x14ac:dyDescent="0.25">
      <c r="A16" t="s">
        <v>258</v>
      </c>
      <c r="B16" t="s">
        <v>211</v>
      </c>
      <c r="C16">
        <v>5.981922760887428E-2</v>
      </c>
      <c r="D16">
        <v>6.2382908792111752E-2</v>
      </c>
      <c r="E16">
        <v>0.11280197206244864</v>
      </c>
      <c r="F16">
        <v>0.10169268693508628</v>
      </c>
      <c r="G16">
        <v>0.12305669679539852</v>
      </c>
      <c r="H16">
        <v>0.10083812654067378</v>
      </c>
      <c r="I16">
        <v>5.2982744453574364E-2</v>
      </c>
      <c r="J16">
        <v>6.4946589975349217E-2</v>
      </c>
      <c r="K16">
        <v>0.10169268693508628</v>
      </c>
      <c r="L16">
        <v>7.3492193919474119E-2</v>
      </c>
      <c r="M16">
        <v>8.8874281018898937E-2</v>
      </c>
      <c r="N16">
        <v>9.8274445357436319E-2</v>
      </c>
      <c r="O16">
        <v>4.909438692469776E-2</v>
      </c>
      <c r="P16">
        <v>0.18647248542142242</v>
      </c>
      <c r="Q16">
        <v>0.40291230532186545</v>
      </c>
      <c r="R16">
        <v>0.36152082233201438</v>
      </c>
    </row>
    <row r="17" spans="1:18" x14ac:dyDescent="0.25">
      <c r="A17" t="s">
        <v>259</v>
      </c>
      <c r="B17" t="s">
        <v>15</v>
      </c>
      <c r="C17">
        <v>4.7272727272727272E-2</v>
      </c>
      <c r="D17">
        <v>6.9090909090909092E-2</v>
      </c>
      <c r="E17">
        <v>3.272727272727273E-2</v>
      </c>
      <c r="F17">
        <v>7.2727272727272727E-3</v>
      </c>
      <c r="G17">
        <v>7.2727272727272727E-3</v>
      </c>
      <c r="H17">
        <v>3.6363636363636364E-3</v>
      </c>
      <c r="I17">
        <v>4.7272727272727272E-2</v>
      </c>
      <c r="J17">
        <v>6.1818181818181821E-2</v>
      </c>
      <c r="K17">
        <v>2.9090909090909091E-2</v>
      </c>
      <c r="L17">
        <v>7.2727272727272727E-3</v>
      </c>
      <c r="M17">
        <v>3.6363636363636364E-3</v>
      </c>
      <c r="N17">
        <v>7.2727272727272727E-3</v>
      </c>
      <c r="O17">
        <v>9.4717136566609211E-2</v>
      </c>
      <c r="P17">
        <v>0.20366752647913416</v>
      </c>
      <c r="Q17">
        <v>0.64368776610684764</v>
      </c>
      <c r="R17">
        <v>5.792757084740896E-2</v>
      </c>
    </row>
    <row r="18" spans="1:18" x14ac:dyDescent="0.25">
      <c r="A18" t="s">
        <v>260</v>
      </c>
      <c r="B18" t="s">
        <v>16</v>
      </c>
      <c r="C18">
        <v>3.4075841951736939E-4</v>
      </c>
      <c r="D18">
        <v>2.2149297268629011E-3</v>
      </c>
      <c r="E18">
        <v>9.8819941660037106E-3</v>
      </c>
      <c r="F18">
        <v>2.6579156722354814E-2</v>
      </c>
      <c r="G18">
        <v>0.1058054892601432</v>
      </c>
      <c r="H18">
        <v>0.68049456377618656</v>
      </c>
      <c r="I18">
        <v>0</v>
      </c>
      <c r="J18">
        <v>1.8741713073455316E-3</v>
      </c>
      <c r="K18">
        <v>7.8374436488994961E-3</v>
      </c>
      <c r="L18">
        <v>2.3001193317422435E-2</v>
      </c>
      <c r="M18">
        <v>0.1124502784407319</v>
      </c>
      <c r="N18">
        <v>1.599520021214532</v>
      </c>
      <c r="O18">
        <v>0.37621874062117244</v>
      </c>
      <c r="P18">
        <v>0.42547228733888698</v>
      </c>
      <c r="Q18">
        <v>0.11101692853029209</v>
      </c>
      <c r="R18">
        <v>8.7292043509648531E-2</v>
      </c>
    </row>
    <row r="19" spans="1:18" x14ac:dyDescent="0.25">
      <c r="A19" t="s">
        <v>261</v>
      </c>
      <c r="B19" t="s">
        <v>7</v>
      </c>
      <c r="C19">
        <v>9.286177806619078E-4</v>
      </c>
      <c r="D19">
        <v>0.15136469824789098</v>
      </c>
      <c r="E19">
        <v>0.43562491888384164</v>
      </c>
      <c r="F19">
        <v>0.23318624269954574</v>
      </c>
      <c r="G19">
        <v>0.13217326411421154</v>
      </c>
      <c r="H19">
        <v>4.7153147306943546E-2</v>
      </c>
      <c r="I19">
        <v>6.190785204412719E-4</v>
      </c>
      <c r="J19">
        <v>8.5639195327709278E-2</v>
      </c>
      <c r="K19">
        <v>0.24494873458792993</v>
      </c>
      <c r="L19">
        <v>0.14424529526281635</v>
      </c>
      <c r="M19">
        <v>8.1202465931213497E-2</v>
      </c>
      <c r="N19">
        <v>3.2914341336794287E-2</v>
      </c>
      <c r="O19">
        <v>0.88749981169310499</v>
      </c>
      <c r="P19">
        <v>1.1008421084346425E-2</v>
      </c>
      <c r="Q19">
        <v>7.2188075905254015E-2</v>
      </c>
      <c r="R19">
        <v>2.9303691317294607E-2</v>
      </c>
    </row>
    <row r="20" spans="1:18" x14ac:dyDescent="0.25">
      <c r="A20" t="s">
        <v>262</v>
      </c>
      <c r="B20" t="s">
        <v>46</v>
      </c>
      <c r="C20">
        <v>1.1090870578267317E-2</v>
      </c>
      <c r="D20">
        <v>0.58983266257148914</v>
      </c>
      <c r="E20">
        <v>1.2058801101461554</v>
      </c>
      <c r="F20">
        <v>0.45674221563228129</v>
      </c>
      <c r="G20">
        <v>0.25811480618513027</v>
      </c>
      <c r="H20">
        <v>0.12905740309256514</v>
      </c>
      <c r="I20">
        <v>5.0413048083033252E-3</v>
      </c>
      <c r="J20">
        <v>0.25609828426180892</v>
      </c>
      <c r="K20">
        <v>0.70779919508578693</v>
      </c>
      <c r="L20">
        <v>0.44061004024571065</v>
      </c>
      <c r="M20">
        <v>0.35389959754289346</v>
      </c>
      <c r="N20">
        <v>0.34583350984960815</v>
      </c>
      <c r="O20">
        <v>0.76999224670911859</v>
      </c>
      <c r="P20">
        <v>7.1168553642147872E-2</v>
      </c>
      <c r="Q20">
        <v>9.8684415458619751E-2</v>
      </c>
      <c r="R20">
        <v>6.0154784190113941E-2</v>
      </c>
    </row>
    <row r="21" spans="1:18" x14ac:dyDescent="0.25">
      <c r="A21" t="s">
        <v>263</v>
      </c>
      <c r="B21" t="s">
        <v>35</v>
      </c>
      <c r="C21">
        <v>3.0892427884615384E-2</v>
      </c>
      <c r="D21">
        <v>0.29461838942307694</v>
      </c>
      <c r="E21">
        <v>0.72006310096153847</v>
      </c>
      <c r="F21">
        <v>0.44431189903846152</v>
      </c>
      <c r="G21">
        <v>0.29814302884615385</v>
      </c>
      <c r="H21">
        <v>0.30850961538461541</v>
      </c>
      <c r="I21">
        <v>3.0270432692307694E-2</v>
      </c>
      <c r="J21">
        <v>0.44078725961538462</v>
      </c>
      <c r="K21">
        <v>1.0942968749999999</v>
      </c>
      <c r="L21">
        <v>0.81315504807692307</v>
      </c>
      <c r="M21">
        <v>0.66055889423076919</v>
      </c>
      <c r="N21">
        <v>1.0743930288461538</v>
      </c>
      <c r="O21">
        <v>0.49386848639850284</v>
      </c>
      <c r="P21">
        <v>6.2014957584940231E-2</v>
      </c>
      <c r="Q21">
        <v>0.16056206927939912</v>
      </c>
      <c r="R21">
        <v>0.28355448673715783</v>
      </c>
    </row>
    <row r="22" spans="1:18" x14ac:dyDescent="0.25">
      <c r="A22" t="s">
        <v>264</v>
      </c>
      <c r="B22" t="s">
        <v>9</v>
      </c>
      <c r="C22">
        <v>5.9929430923731115E-3</v>
      </c>
      <c r="D22">
        <v>8.3159601639652303E-2</v>
      </c>
      <c r="E22">
        <v>0.28647871444578221</v>
      </c>
      <c r="F22">
        <v>0.1977069921845096</v>
      </c>
      <c r="G22">
        <v>0.17994863907466821</v>
      </c>
      <c r="H22">
        <v>0.2153250422788105</v>
      </c>
      <c r="I22">
        <v>2.8862334625475855E-3</v>
      </c>
      <c r="J22">
        <v>0.12843738908336755</v>
      </c>
      <c r="K22">
        <v>0.4994586920362728</v>
      </c>
      <c r="L22">
        <v>0.36665186618321516</v>
      </c>
      <c r="M22">
        <v>0.35739186715754162</v>
      </c>
      <c r="N22">
        <v>0.55650188949745627</v>
      </c>
      <c r="O22">
        <v>0.15612879151340689</v>
      </c>
      <c r="P22">
        <v>0.51264992803454346</v>
      </c>
      <c r="Q22">
        <v>0.13194200117277041</v>
      </c>
      <c r="R22">
        <v>0.19927927927927927</v>
      </c>
    </row>
    <row r="23" spans="1:18" x14ac:dyDescent="0.25">
      <c r="A23" t="s">
        <v>265</v>
      </c>
      <c r="B23" t="s">
        <v>11</v>
      </c>
      <c r="C23">
        <v>3.6164852739289802E-3</v>
      </c>
      <c r="D23">
        <v>6.115798859277919E-2</v>
      </c>
      <c r="E23">
        <v>0.2412303098065301</v>
      </c>
      <c r="F23">
        <v>0.17774488019587584</v>
      </c>
      <c r="G23">
        <v>0.17917715159149128</v>
      </c>
      <c r="H23">
        <v>0.20689160309665</v>
      </c>
      <c r="I23">
        <v>2.64970208188856E-3</v>
      </c>
      <c r="J23">
        <v>9.3706356058140025E-2</v>
      </c>
      <c r="K23">
        <v>0.37622188884328517</v>
      </c>
      <c r="L23">
        <v>0.29844955206136686</v>
      </c>
      <c r="M23">
        <v>0.33923348005151649</v>
      </c>
      <c r="N23">
        <v>0.54977737520698577</v>
      </c>
      <c r="O23">
        <v>5.1527132158341746E-2</v>
      </c>
      <c r="P23">
        <v>0.24375159106347682</v>
      </c>
      <c r="Q23">
        <v>0.47497770845097387</v>
      </c>
      <c r="R23">
        <v>0.22974356832720749</v>
      </c>
    </row>
    <row r="24" spans="1:18" x14ac:dyDescent="0.25">
      <c r="A24" t="s">
        <v>266</v>
      </c>
      <c r="B24" t="s">
        <v>32</v>
      </c>
      <c r="C24">
        <v>5.6000000000000001E-2</v>
      </c>
      <c r="D24">
        <v>8.531764705882354E-2</v>
      </c>
      <c r="E24">
        <v>9.1576470588235301E-2</v>
      </c>
      <c r="F24">
        <v>4.6776470588235301E-2</v>
      </c>
      <c r="G24">
        <v>2.3058823529411767E-2</v>
      </c>
      <c r="H24">
        <v>6.2588235294117646E-3</v>
      </c>
      <c r="I24">
        <v>3.4917647058823532E-2</v>
      </c>
      <c r="J24">
        <v>6.324705882352942E-2</v>
      </c>
      <c r="K24">
        <v>7.7082352941176477E-2</v>
      </c>
      <c r="L24">
        <v>4.2823529411764712E-2</v>
      </c>
      <c r="M24">
        <v>2.3717647058823531E-2</v>
      </c>
      <c r="N24">
        <v>8.8941176470588249E-3</v>
      </c>
      <c r="O24">
        <v>0.42750170473263072</v>
      </c>
      <c r="P24">
        <v>1.3048099741357835E-2</v>
      </c>
      <c r="Q24">
        <v>0.13277578664271555</v>
      </c>
      <c r="R24">
        <v>0.42667440888329589</v>
      </c>
    </row>
    <row r="25" spans="1:18" x14ac:dyDescent="0.25">
      <c r="A25" t="s">
        <v>267</v>
      </c>
      <c r="B25" t="s">
        <v>45</v>
      </c>
      <c r="C25">
        <v>0.56587462082912032</v>
      </c>
      <c r="D25">
        <v>0.27472194135490396</v>
      </c>
      <c r="E25">
        <v>5.3235591506572297E-2</v>
      </c>
      <c r="F25">
        <v>1.3801820020222446E-2</v>
      </c>
      <c r="G25">
        <v>5.2578361981799795E-3</v>
      </c>
      <c r="H25">
        <v>3.2861476238624874E-3</v>
      </c>
      <c r="I25">
        <v>0.19322548028311426</v>
      </c>
      <c r="J25">
        <v>0.13473205257836199</v>
      </c>
      <c r="K25">
        <v>3.4175935288169867E-2</v>
      </c>
      <c r="L25">
        <v>1.1172901921132457E-2</v>
      </c>
      <c r="M25">
        <v>5.2578361981799795E-3</v>
      </c>
      <c r="N25">
        <v>4.6006066734074827E-3</v>
      </c>
      <c r="O25">
        <v>0.80853183868120349</v>
      </c>
      <c r="P25">
        <v>1.5852310213623589E-2</v>
      </c>
      <c r="Q25">
        <v>0.17329690093661787</v>
      </c>
      <c r="R25">
        <v>2.3189501685550659E-3</v>
      </c>
    </row>
    <row r="26" spans="1:18" x14ac:dyDescent="0.25">
      <c r="A26" t="s">
        <v>268</v>
      </c>
      <c r="B26" t="s">
        <v>41</v>
      </c>
      <c r="C26">
        <v>2.6910681399631677E-2</v>
      </c>
      <c r="D26">
        <v>0.15031537753222837</v>
      </c>
      <c r="E26">
        <v>0.22182090239410682</v>
      </c>
      <c r="F26">
        <v>0.11033379373848987</v>
      </c>
      <c r="G26">
        <v>8.7267495395948441E-2</v>
      </c>
      <c r="H26">
        <v>0.12148250460405156</v>
      </c>
      <c r="I26">
        <v>1.6146408839779004E-2</v>
      </c>
      <c r="J26">
        <v>0.18837476979742174</v>
      </c>
      <c r="K26">
        <v>0.2425805709023941</v>
      </c>
      <c r="L26">
        <v>0.14647099447513812</v>
      </c>
      <c r="M26">
        <v>0.13147790055248618</v>
      </c>
      <c r="N26">
        <v>0.2264341620626151</v>
      </c>
      <c r="O26">
        <v>0.65584868288568532</v>
      </c>
      <c r="P26">
        <v>5.613183323631793E-2</v>
      </c>
      <c r="Q26">
        <v>0.157127021639028</v>
      </c>
      <c r="R26">
        <v>0.13089246223896889</v>
      </c>
    </row>
    <row r="27" spans="1:18" x14ac:dyDescent="0.25">
      <c r="A27" t="s">
        <v>269</v>
      </c>
      <c r="B27" t="s">
        <v>43</v>
      </c>
      <c r="C27">
        <v>4.031065088757397E-4</v>
      </c>
      <c r="D27">
        <v>1.6124260355029588E-3</v>
      </c>
      <c r="E27">
        <v>1.9349112426035504E-2</v>
      </c>
      <c r="F27">
        <v>5.2403846153846162E-2</v>
      </c>
      <c r="G27">
        <v>0.15237426035502957</v>
      </c>
      <c r="H27">
        <v>0.33256286982248523</v>
      </c>
      <c r="I27">
        <v>4.031065088757397E-4</v>
      </c>
      <c r="J27">
        <v>2.0155325443786984E-3</v>
      </c>
      <c r="K27">
        <v>1.9349112426035504E-2</v>
      </c>
      <c r="L27">
        <v>4.3132396449704145E-2</v>
      </c>
      <c r="M27">
        <v>0.11730399408284024</v>
      </c>
      <c r="N27">
        <v>0.34909023668639055</v>
      </c>
      <c r="O27">
        <v>0.45259080804978563</v>
      </c>
      <c r="P27">
        <v>0.123920893195113</v>
      </c>
      <c r="Q27">
        <v>0.32559560830988765</v>
      </c>
      <c r="R27">
        <v>9.7892690445213704E-2</v>
      </c>
    </row>
    <row r="28" spans="1:18" x14ac:dyDescent="0.25">
      <c r="A28" t="s">
        <v>270</v>
      </c>
      <c r="B28" t="s">
        <v>33</v>
      </c>
      <c r="C28">
        <v>0</v>
      </c>
      <c r="D28">
        <v>4.2931937172774867E-2</v>
      </c>
      <c r="E28">
        <v>0.14764397905759163</v>
      </c>
      <c r="F28">
        <v>7.6439790575916225E-2</v>
      </c>
      <c r="G28">
        <v>5.1308900523560207E-2</v>
      </c>
      <c r="H28">
        <v>1.6753926701570682E-2</v>
      </c>
      <c r="I28">
        <v>0</v>
      </c>
      <c r="J28">
        <v>0.1099476439790576</v>
      </c>
      <c r="K28">
        <v>0.37905759162303665</v>
      </c>
      <c r="L28">
        <v>0.19685863874345549</v>
      </c>
      <c r="M28">
        <v>0.12460732984293194</v>
      </c>
      <c r="N28">
        <v>5.1308900523560207E-2</v>
      </c>
      <c r="O28">
        <v>0.2209187689568112</v>
      </c>
      <c r="P28">
        <v>0.42847130117857646</v>
      </c>
      <c r="Q28">
        <v>0.19325819157605137</v>
      </c>
      <c r="R28">
        <v>0.15735173828856097</v>
      </c>
    </row>
    <row r="29" spans="1:18" x14ac:dyDescent="0.25">
      <c r="A29" t="s">
        <v>271</v>
      </c>
      <c r="B29" t="s">
        <v>18</v>
      </c>
      <c r="C29">
        <v>2.8896662002798321E-2</v>
      </c>
      <c r="D29">
        <v>5.0599640215870476E-2</v>
      </c>
      <c r="E29">
        <v>7.7301619028582846E-2</v>
      </c>
      <c r="F29">
        <v>5.5232860283829704E-2</v>
      </c>
      <c r="G29">
        <v>5.2794323405956425E-2</v>
      </c>
      <c r="H29">
        <v>5.5598640815510691E-2</v>
      </c>
      <c r="I29">
        <v>2.4141515090945434E-2</v>
      </c>
      <c r="J29">
        <v>4.6454127523485905E-2</v>
      </c>
      <c r="K29">
        <v>6.3401958824705174E-2</v>
      </c>
      <c r="L29">
        <v>4.2308614831101342E-2</v>
      </c>
      <c r="M29">
        <v>4.2430541674995E-2</v>
      </c>
      <c r="N29">
        <v>7.0961423146112326E-2</v>
      </c>
      <c r="O29">
        <v>0.16491081906707158</v>
      </c>
      <c r="P29">
        <v>9.7875066068245142E-2</v>
      </c>
      <c r="Q29">
        <v>0.55115249894738727</v>
      </c>
      <c r="R29">
        <v>0.186061615917296</v>
      </c>
    </row>
    <row r="30" spans="1:18" x14ac:dyDescent="0.25">
      <c r="A30" t="s">
        <v>272</v>
      </c>
      <c r="B30" t="s">
        <v>34</v>
      </c>
      <c r="C30">
        <v>1.220408163265306E-2</v>
      </c>
      <c r="D30">
        <v>2.4408163265306121E-2</v>
      </c>
      <c r="E30">
        <v>3.2367346938775507E-2</v>
      </c>
      <c r="F30">
        <v>2.0693877551020409E-2</v>
      </c>
      <c r="G30">
        <v>2.1224489795918369E-2</v>
      </c>
      <c r="H30">
        <v>1.8571428571428572E-2</v>
      </c>
      <c r="I30">
        <v>6.3673469387755099E-3</v>
      </c>
      <c r="J30">
        <v>1.9632653061224491E-2</v>
      </c>
      <c r="K30">
        <v>3.8204081632653063E-2</v>
      </c>
      <c r="L30">
        <v>2.2285714285714287E-2</v>
      </c>
      <c r="M30">
        <v>2.1755102040816328E-2</v>
      </c>
      <c r="N30">
        <v>2.2816326530612246E-2</v>
      </c>
      <c r="O30">
        <v>0.30193713109522136</v>
      </c>
      <c r="P30">
        <v>0.19258353474428577</v>
      </c>
      <c r="Q30">
        <v>0.35494825471731944</v>
      </c>
      <c r="R30">
        <v>0.15053107944317343</v>
      </c>
    </row>
    <row r="31" spans="1:18" x14ac:dyDescent="0.25">
      <c r="A31" t="s">
        <v>273</v>
      </c>
      <c r="B31" t="s">
        <v>188</v>
      </c>
      <c r="C31">
        <v>5.033845258024602E-3</v>
      </c>
      <c r="D31">
        <v>2.2438314287793873E-2</v>
      </c>
      <c r="E31">
        <v>4.8667297474343112E-2</v>
      </c>
      <c r="F31">
        <v>2.3701870587378996E-2</v>
      </c>
      <c r="G31">
        <v>1.6242812431763596E-2</v>
      </c>
      <c r="H31">
        <v>1.9809301987044184E-2</v>
      </c>
      <c r="I31">
        <v>1.2839362399010119E-3</v>
      </c>
      <c r="J31">
        <v>1.3491520489118567E-2</v>
      </c>
      <c r="K31">
        <v>3.8497707256714468E-2</v>
      </c>
      <c r="L31">
        <v>2.5658344857704345E-2</v>
      </c>
      <c r="M31">
        <v>2.160273673484242E-2</v>
      </c>
      <c r="N31">
        <v>4.3592692335686738E-2</v>
      </c>
      <c r="O31">
        <v>8.7214605261252909E-2</v>
      </c>
      <c r="P31">
        <v>0.22886594953019357</v>
      </c>
      <c r="Q31">
        <v>0.37409332426054348</v>
      </c>
      <c r="R31">
        <v>0.30982612094801004</v>
      </c>
    </row>
    <row r="32" spans="1:18" x14ac:dyDescent="0.25">
      <c r="A32" t="s">
        <v>274</v>
      </c>
      <c r="B32" t="s">
        <v>42</v>
      </c>
      <c r="C32">
        <v>2.4123076923076924E-2</v>
      </c>
      <c r="D32">
        <v>8.4430769230769226E-2</v>
      </c>
      <c r="E32">
        <v>0.19872820512820516</v>
      </c>
      <c r="F32">
        <v>0.1280820512820513</v>
      </c>
      <c r="G32">
        <v>0.11429743589743592</v>
      </c>
      <c r="H32">
        <v>7.9835897435897446E-2</v>
      </c>
      <c r="I32">
        <v>2.0102564102564106E-2</v>
      </c>
      <c r="J32">
        <v>6.1456410256410264E-2</v>
      </c>
      <c r="K32">
        <v>0.13727179487179489</v>
      </c>
      <c r="L32">
        <v>9.3046153846153848E-2</v>
      </c>
      <c r="M32">
        <v>8.672820512820513E-2</v>
      </c>
      <c r="N32">
        <v>9.2471794871794868E-2</v>
      </c>
      <c r="O32">
        <v>0.17209760707663257</v>
      </c>
      <c r="P32">
        <v>0.15524629303267573</v>
      </c>
      <c r="Q32">
        <v>0.61498194896065184</v>
      </c>
      <c r="R32">
        <v>5.7674150930039927E-2</v>
      </c>
    </row>
    <row r="33" spans="1:18" x14ac:dyDescent="0.25">
      <c r="A33" t="s">
        <v>275</v>
      </c>
      <c r="B33" t="s">
        <v>40</v>
      </c>
      <c r="C33">
        <v>2.4755489021956088E-2</v>
      </c>
      <c r="D33">
        <v>5.9740518962075849E-2</v>
      </c>
      <c r="E33">
        <v>9.4930139720558887E-2</v>
      </c>
      <c r="F33">
        <v>6.6082834331337326E-2</v>
      </c>
      <c r="G33">
        <v>6.4241516966067863E-2</v>
      </c>
      <c r="H33">
        <v>5.8103792415169664E-2</v>
      </c>
      <c r="I33">
        <v>2.0868263473053893E-2</v>
      </c>
      <c r="J33">
        <v>7.0993013972055888E-2</v>
      </c>
      <c r="K33">
        <v>0.13932634730538923</v>
      </c>
      <c r="L33">
        <v>7.7744510978043899E-2</v>
      </c>
      <c r="M33">
        <v>6.2400199600798401E-2</v>
      </c>
      <c r="N33">
        <v>8.0404191616766457E-2</v>
      </c>
      <c r="O33">
        <v>0.34193389316741357</v>
      </c>
      <c r="P33">
        <v>8.1812022550829491E-2</v>
      </c>
      <c r="Q33">
        <v>0.47075996129644476</v>
      </c>
      <c r="R33">
        <v>0.10549412298531212</v>
      </c>
    </row>
    <row r="34" spans="1:18" x14ac:dyDescent="0.25">
      <c r="A34" t="s">
        <v>276</v>
      </c>
      <c r="B34" t="s">
        <v>50</v>
      </c>
      <c r="C34">
        <v>3.9101025529129389E-3</v>
      </c>
      <c r="D34">
        <v>1.0054549421776129E-2</v>
      </c>
      <c r="E34">
        <v>4.9714161029893081E-2</v>
      </c>
      <c r="F34">
        <v>8.4346497927121969E-2</v>
      </c>
      <c r="G34">
        <v>0.17707178703905738</v>
      </c>
      <c r="H34">
        <v>0.35526074623608989</v>
      </c>
      <c r="I34">
        <v>3.0722234344315951E-3</v>
      </c>
      <c r="J34">
        <v>7.8202051058258778E-3</v>
      </c>
      <c r="K34">
        <v>2.9325769146847043E-2</v>
      </c>
      <c r="L34">
        <v>4.6083351516473928E-2</v>
      </c>
      <c r="M34">
        <v>0.10752782020510583</v>
      </c>
      <c r="N34">
        <v>0.40553349334497052</v>
      </c>
      <c r="O34">
        <v>0.7633518076042074</v>
      </c>
      <c r="P34">
        <v>4.5022773115947247E-2</v>
      </c>
      <c r="Q34">
        <v>0.14929363454372094</v>
      </c>
      <c r="R34">
        <v>4.2331784736124346E-2</v>
      </c>
    </row>
    <row r="35" spans="1:18" x14ac:dyDescent="0.25">
      <c r="A35" t="s">
        <v>277</v>
      </c>
      <c r="B35" t="s">
        <v>10</v>
      </c>
      <c r="C35">
        <v>1.244687291972276E-3</v>
      </c>
      <c r="D35">
        <v>2.0376942470638912E-2</v>
      </c>
      <c r="E35">
        <v>0.29603026624536505</v>
      </c>
      <c r="F35">
        <v>0.47396922168639133</v>
      </c>
      <c r="G35">
        <v>0.61941798925861558</v>
      </c>
      <c r="H35">
        <v>0.56227786027766147</v>
      </c>
      <c r="I35">
        <v>9.2389159816498839E-4</v>
      </c>
      <c r="J35">
        <v>2.572781464334447E-2</v>
      </c>
      <c r="K35">
        <v>0.28867762894330201</v>
      </c>
      <c r="L35">
        <v>0.43807859946323202</v>
      </c>
      <c r="M35">
        <v>0.63849891712627305</v>
      </c>
      <c r="N35">
        <v>0.89473768551178212</v>
      </c>
      <c r="O35">
        <v>7.9074723428867844E-2</v>
      </c>
      <c r="P35">
        <v>0.11498360806481106</v>
      </c>
      <c r="Q35">
        <v>0.30032671560790902</v>
      </c>
      <c r="R35">
        <v>0.50561495289841218</v>
      </c>
    </row>
    <row r="36" spans="1:18" x14ac:dyDescent="0.25">
      <c r="A36" t="s">
        <v>278</v>
      </c>
      <c r="B36" t="s">
        <v>5</v>
      </c>
      <c r="C36">
        <v>0</v>
      </c>
      <c r="D36">
        <v>6.0410557184750737E-3</v>
      </c>
      <c r="E36">
        <v>0.12988269794721408</v>
      </c>
      <c r="F36">
        <v>0.16612903225806452</v>
      </c>
      <c r="G36">
        <v>0.18626588465298144</v>
      </c>
      <c r="H36">
        <v>0.2124437927663734</v>
      </c>
      <c r="I36">
        <v>0</v>
      </c>
      <c r="J36">
        <v>2.0136852394916911E-3</v>
      </c>
      <c r="K36">
        <v>3.2218963831867058E-2</v>
      </c>
      <c r="L36">
        <v>4.6314760508308898E-2</v>
      </c>
      <c r="M36">
        <v>6.8465298142717498E-2</v>
      </c>
      <c r="N36">
        <v>0.18022482893450636</v>
      </c>
      <c r="O36">
        <v>0.82931210271870892</v>
      </c>
      <c r="P36">
        <v>4.4797962797640818E-2</v>
      </c>
      <c r="Q36">
        <v>6.7970163961617078E-2</v>
      </c>
      <c r="R36">
        <v>5.7919770522033093E-2</v>
      </c>
    </row>
    <row r="37" spans="1:18" x14ac:dyDescent="0.25">
      <c r="A37" t="s">
        <v>279</v>
      </c>
      <c r="B37" t="s">
        <v>12</v>
      </c>
      <c r="C37">
        <v>1.019847022946558E-3</v>
      </c>
      <c r="D37">
        <v>5.949107633854922E-3</v>
      </c>
      <c r="E37">
        <v>0.20702894565815128</v>
      </c>
      <c r="F37">
        <v>0.46912963055541668</v>
      </c>
      <c r="G37">
        <v>0.76692496125581167</v>
      </c>
      <c r="H37">
        <v>0.91412288156776489</v>
      </c>
      <c r="I37">
        <v>6.7989801529770534E-4</v>
      </c>
      <c r="J37">
        <v>2.8895665650152478E-3</v>
      </c>
      <c r="K37">
        <v>5.9661050842373643E-2</v>
      </c>
      <c r="L37">
        <v>0.12935059741038843</v>
      </c>
      <c r="M37">
        <v>0.23201519772034196</v>
      </c>
      <c r="N37">
        <v>0.61156826476028592</v>
      </c>
      <c r="O37">
        <v>5.4094055672049064E-2</v>
      </c>
      <c r="P37">
        <v>0.16681475163189632</v>
      </c>
      <c r="Q37">
        <v>0.3585796479921653</v>
      </c>
      <c r="R37">
        <v>0.4205115447038893</v>
      </c>
    </row>
    <row r="38" spans="1:18" x14ac:dyDescent="0.25">
      <c r="A38" t="s">
        <v>280</v>
      </c>
      <c r="B38" t="s">
        <v>47</v>
      </c>
      <c r="C38">
        <v>5.1339285714285712E-4</v>
      </c>
      <c r="D38">
        <v>4.1071428571428569E-3</v>
      </c>
      <c r="E38">
        <v>1.8482142857142857E-2</v>
      </c>
      <c r="F38">
        <v>2.1562499999999998E-2</v>
      </c>
      <c r="G38">
        <v>2.9263392857142856E-2</v>
      </c>
      <c r="H38">
        <v>3.6450892857142855E-2</v>
      </c>
      <c r="I38">
        <v>5.1339285714285712E-4</v>
      </c>
      <c r="J38">
        <v>5.6473214285714286E-3</v>
      </c>
      <c r="K38">
        <v>1.3861607142857143E-2</v>
      </c>
      <c r="L38">
        <v>1.2834821428571428E-2</v>
      </c>
      <c r="M38">
        <v>2.5156250000000002E-2</v>
      </c>
      <c r="N38">
        <v>6.2120535714285711E-2</v>
      </c>
      <c r="O38">
        <v>0.75743928076982248</v>
      </c>
      <c r="P38">
        <v>6.9701061411455059E-2</v>
      </c>
      <c r="Q38">
        <v>0.11566137385270139</v>
      </c>
      <c r="R38">
        <v>5.7198283966021168E-2</v>
      </c>
    </row>
    <row r="39" spans="1:18" x14ac:dyDescent="0.25">
      <c r="A39" t="s">
        <v>281</v>
      </c>
      <c r="B39" t="s">
        <v>26</v>
      </c>
      <c r="C39">
        <v>6.0043207924965749E-3</v>
      </c>
      <c r="D39">
        <v>2.2620929497312679E-2</v>
      </c>
      <c r="E39">
        <v>8.7830646011170826E-2</v>
      </c>
      <c r="F39">
        <v>0.16867952365897354</v>
      </c>
      <c r="G39">
        <v>0.3817630941089683</v>
      </c>
      <c r="H39">
        <v>0.78642638844978396</v>
      </c>
      <c r="I39">
        <v>4.8872378543576775E-3</v>
      </c>
      <c r="J39">
        <v>2.080566972283697E-2</v>
      </c>
      <c r="K39">
        <v>5.2921804194330277E-2</v>
      </c>
      <c r="L39">
        <v>7.7497628833386026E-2</v>
      </c>
      <c r="M39">
        <v>0.20065602276319949</v>
      </c>
      <c r="N39">
        <v>0.83990673411318373</v>
      </c>
      <c r="O39">
        <v>8.7083742712635928E-2</v>
      </c>
      <c r="P39">
        <v>0.8347823504517814</v>
      </c>
      <c r="Q39">
        <v>3.760679953242077E-2</v>
      </c>
      <c r="R39">
        <v>4.0527107303161766E-2</v>
      </c>
    </row>
    <row r="40" spans="1:18" x14ac:dyDescent="0.25">
      <c r="A40" t="s">
        <v>282</v>
      </c>
      <c r="B40" t="s">
        <v>6</v>
      </c>
      <c r="C40">
        <v>8.1580297588506928E-4</v>
      </c>
      <c r="D40">
        <v>2.4474089276552077E-3</v>
      </c>
      <c r="E40">
        <v>3.0184710107747564E-2</v>
      </c>
      <c r="F40">
        <v>6.7711646998460745E-2</v>
      </c>
      <c r="G40">
        <v>0.15989738327347358</v>
      </c>
      <c r="H40">
        <v>0.52945613134940994</v>
      </c>
      <c r="I40">
        <v>8.1580297588506928E-4</v>
      </c>
      <c r="J40">
        <v>1.6316059517701386E-3</v>
      </c>
      <c r="K40">
        <v>1.3868650590046178E-2</v>
      </c>
      <c r="L40">
        <v>2.8553104155977425E-2</v>
      </c>
      <c r="M40">
        <v>8.3211903540277063E-2</v>
      </c>
      <c r="N40">
        <v>0.67140584915341206</v>
      </c>
      <c r="O40">
        <v>0.74156352957735328</v>
      </c>
      <c r="P40">
        <v>3.7233889911491375E-2</v>
      </c>
      <c r="Q40">
        <v>0.2126284345436483</v>
      </c>
      <c r="R40">
        <v>8.5741459675072063E-3</v>
      </c>
    </row>
    <row r="41" spans="1:18" x14ac:dyDescent="0.25">
      <c r="A41" t="s">
        <v>283</v>
      </c>
      <c r="B41" t="s">
        <v>14</v>
      </c>
      <c r="C41">
        <v>3.2124827902707664E-3</v>
      </c>
      <c r="D41">
        <v>5.2776502983019734E-3</v>
      </c>
      <c r="E41">
        <v>4.5892611289582379E-2</v>
      </c>
      <c r="F41">
        <v>9.2703074804956404E-2</v>
      </c>
      <c r="G41">
        <v>0.18058742542450665</v>
      </c>
      <c r="H41">
        <v>0.42519504359798072</v>
      </c>
      <c r="I41">
        <v>2.9830197338228544E-3</v>
      </c>
      <c r="J41">
        <v>3.9008719596145022E-3</v>
      </c>
      <c r="K41">
        <v>2.2257916475447451E-2</v>
      </c>
      <c r="L41">
        <v>4.1073887104176227E-2</v>
      </c>
      <c r="M41">
        <v>9.7062872877466733E-2</v>
      </c>
      <c r="N41">
        <v>0.57962368058742542</v>
      </c>
      <c r="O41">
        <v>0.3138383780264028</v>
      </c>
      <c r="P41">
        <v>0.23508510872234087</v>
      </c>
      <c r="Q41">
        <v>0.30751739118793309</v>
      </c>
      <c r="R41">
        <v>0.14355912206332325</v>
      </c>
    </row>
    <row r="42" spans="1:18" x14ac:dyDescent="0.25">
      <c r="A42" t="s">
        <v>284</v>
      </c>
      <c r="B42" t="s">
        <v>49</v>
      </c>
      <c r="C42">
        <v>1.1181364392678868E-2</v>
      </c>
      <c r="D42">
        <v>2.3960066555740438E-2</v>
      </c>
      <c r="E42">
        <v>0.12459234608985027</v>
      </c>
      <c r="F42">
        <v>0.19833610648918473</v>
      </c>
      <c r="G42">
        <v>0.32079866888519137</v>
      </c>
      <c r="H42">
        <v>0.49384359400998346</v>
      </c>
      <c r="I42">
        <v>7.720465890183029E-3</v>
      </c>
      <c r="J42">
        <v>2.3693843594009986E-2</v>
      </c>
      <c r="K42">
        <v>0.1128785357737105</v>
      </c>
      <c r="L42">
        <v>0.12938435940099835</v>
      </c>
      <c r="M42">
        <v>0.19833610648918473</v>
      </c>
      <c r="N42">
        <v>0.59527454242928457</v>
      </c>
      <c r="O42">
        <v>0.22390204572522321</v>
      </c>
      <c r="P42">
        <v>0.10090551902603741</v>
      </c>
      <c r="Q42">
        <v>0.51319590031795626</v>
      </c>
      <c r="R42">
        <v>0.16199653493078309</v>
      </c>
    </row>
    <row r="43" spans="1:18" x14ac:dyDescent="0.25">
      <c r="A43" t="s">
        <v>285</v>
      </c>
      <c r="B43" t="s">
        <v>44</v>
      </c>
      <c r="C43">
        <v>4.4720793973454504E-4</v>
      </c>
      <c r="D43">
        <v>1.073299055362908E-2</v>
      </c>
      <c r="E43">
        <v>9.9503766590936266E-2</v>
      </c>
      <c r="F43">
        <v>0.23947985172784886</v>
      </c>
      <c r="G43">
        <v>0.39085973932799234</v>
      </c>
      <c r="H43">
        <v>0.43848738490972139</v>
      </c>
      <c r="I43">
        <v>4.4720793973454504E-4</v>
      </c>
      <c r="J43">
        <v>1.6546693770178166E-2</v>
      </c>
      <c r="K43">
        <v>9.1230419705847179E-2</v>
      </c>
      <c r="L43">
        <v>0.10106899438000717</v>
      </c>
      <c r="M43">
        <v>0.14444816453425804</v>
      </c>
      <c r="N43">
        <v>0.33697118258997966</v>
      </c>
      <c r="O43">
        <v>0.12001978962765385</v>
      </c>
      <c r="P43">
        <v>0.23676568650648538</v>
      </c>
      <c r="Q43">
        <v>0.45258878444363176</v>
      </c>
      <c r="R43">
        <v>0.19062573942222891</v>
      </c>
    </row>
    <row r="44" spans="1:18" x14ac:dyDescent="0.25">
      <c r="A44" t="s">
        <v>286</v>
      </c>
      <c r="B44" t="s">
        <v>164</v>
      </c>
      <c r="C44">
        <v>1.5618762985783447E-4</v>
      </c>
      <c r="D44">
        <v>4.3509411174682457E-3</v>
      </c>
      <c r="E44">
        <v>0.13976561620421071</v>
      </c>
      <c r="F44">
        <v>0.27803629366549648</v>
      </c>
      <c r="G44">
        <v>0.39165163812779552</v>
      </c>
      <c r="H44">
        <v>0.31793107683489757</v>
      </c>
      <c r="I44">
        <v>1.5618762985783447E-4</v>
      </c>
      <c r="J44">
        <v>3.1683776342589279E-3</v>
      </c>
      <c r="K44">
        <v>7.1846309734603847E-2</v>
      </c>
      <c r="L44">
        <v>0.20342323163055384</v>
      </c>
      <c r="M44">
        <v>0.36755411809258676</v>
      </c>
      <c r="N44">
        <v>0.40191539666131032</v>
      </c>
      <c r="O44">
        <v>0.35340745500136045</v>
      </c>
      <c r="P44">
        <v>0.41940098894178635</v>
      </c>
      <c r="Q44">
        <v>0.11987055107126846</v>
      </c>
      <c r="R44">
        <v>0.10732100498558486</v>
      </c>
    </row>
    <row r="45" spans="1:18" x14ac:dyDescent="0.25">
      <c r="A45" t="s">
        <v>287</v>
      </c>
      <c r="B45" t="s">
        <v>37</v>
      </c>
      <c r="C45">
        <v>1.5770663142719845E-3</v>
      </c>
      <c r="D45">
        <v>4.7001892119173478E-3</v>
      </c>
      <c r="E45">
        <v>4.2713689332051899E-2</v>
      </c>
      <c r="F45">
        <v>6.4898936809226329E-2</v>
      </c>
      <c r="G45">
        <v>8.5099561508889962E-2</v>
      </c>
      <c r="H45">
        <v>8.6951285439692452E-2</v>
      </c>
      <c r="I45">
        <v>1.3068386592984143E-3</v>
      </c>
      <c r="J45">
        <v>5.1166055982700626E-3</v>
      </c>
      <c r="K45">
        <v>3.7885031234983178E-2</v>
      </c>
      <c r="L45">
        <v>5.5046702306583373E-2</v>
      </c>
      <c r="M45">
        <v>8.0129144641999037E-2</v>
      </c>
      <c r="N45">
        <v>0.12458380886592985</v>
      </c>
      <c r="O45">
        <v>0.15421804654352925</v>
      </c>
      <c r="P45">
        <v>0.14901227261986666</v>
      </c>
      <c r="Q45">
        <v>0.45874902502828208</v>
      </c>
      <c r="R45">
        <v>0.23802065580832216</v>
      </c>
    </row>
    <row r="46" spans="1:18" x14ac:dyDescent="0.25">
      <c r="A46" t="s">
        <v>288</v>
      </c>
      <c r="B46" t="s">
        <v>203</v>
      </c>
      <c r="C46">
        <v>0.35627578689194711</v>
      </c>
      <c r="D46">
        <v>0.15768960348821365</v>
      </c>
      <c r="E46">
        <v>0.28028423490938825</v>
      </c>
      <c r="F46">
        <v>0.26069191988009272</v>
      </c>
      <c r="G46">
        <v>0.33021610573647636</v>
      </c>
      <c r="H46">
        <v>0.34733560430576371</v>
      </c>
      <c r="I46">
        <v>0.22474097288458919</v>
      </c>
      <c r="J46">
        <v>0.19078730072216923</v>
      </c>
      <c r="K46">
        <v>0.35389807875732388</v>
      </c>
      <c r="L46">
        <v>0.28456410955171008</v>
      </c>
      <c r="M46">
        <v>0.30872162419948224</v>
      </c>
      <c r="N46">
        <v>0.39479465867284369</v>
      </c>
      <c r="O46">
        <v>0.71860547197173485</v>
      </c>
      <c r="P46">
        <v>3.0363268065412993E-2</v>
      </c>
      <c r="Q46">
        <v>0.24396559764311299</v>
      </c>
      <c r="R46">
        <v>7.0656623197390481E-3</v>
      </c>
    </row>
    <row r="47" spans="1:18" x14ac:dyDescent="0.25">
      <c r="A47" t="s">
        <v>289</v>
      </c>
      <c r="B47" t="s">
        <v>13</v>
      </c>
      <c r="C47">
        <v>3.0555555555555557E-3</v>
      </c>
      <c r="D47">
        <v>4.2777777777777776E-2</v>
      </c>
      <c r="E47">
        <v>0.22916666666666666</v>
      </c>
      <c r="F47">
        <v>0.30555555555555558</v>
      </c>
      <c r="G47">
        <v>0.56527777777777777</v>
      </c>
      <c r="H47">
        <v>0.88</v>
      </c>
      <c r="I47">
        <v>3.0555555555555557E-3</v>
      </c>
      <c r="J47">
        <v>3.3611111111111112E-2</v>
      </c>
      <c r="K47">
        <v>0.15583333333333332</v>
      </c>
      <c r="L47">
        <v>0.1925</v>
      </c>
      <c r="M47">
        <v>0.32694444444444443</v>
      </c>
      <c r="N47">
        <v>0.56222222222222218</v>
      </c>
      <c r="O47">
        <v>0.47764265408757267</v>
      </c>
      <c r="P47">
        <v>0.17211667308641709</v>
      </c>
      <c r="Q47">
        <v>0.29369374806729348</v>
      </c>
      <c r="R47">
        <v>5.6546924758716852E-2</v>
      </c>
    </row>
    <row r="48" spans="1:18" x14ac:dyDescent="0.25">
      <c r="A48" t="s">
        <v>290</v>
      </c>
      <c r="B48" t="s">
        <v>223</v>
      </c>
      <c r="C48">
        <v>1.9287144573488187E-2</v>
      </c>
      <c r="D48">
        <v>0.1663516219463356</v>
      </c>
      <c r="E48">
        <v>0.70845814977973565</v>
      </c>
      <c r="F48">
        <v>0.63406487785342414</v>
      </c>
      <c r="G48">
        <v>0.54727272727272724</v>
      </c>
      <c r="H48">
        <v>0.38333199839807769</v>
      </c>
      <c r="I48">
        <v>1.7565078093712456E-2</v>
      </c>
      <c r="J48">
        <v>0.16531838205847016</v>
      </c>
      <c r="K48">
        <v>0.43361633960752904</v>
      </c>
      <c r="L48">
        <v>0.39435322386864236</v>
      </c>
      <c r="M48">
        <v>0.40055266319583499</v>
      </c>
      <c r="N48">
        <v>0.42948338005606729</v>
      </c>
      <c r="O48">
        <v>8.0349190159662714E-2</v>
      </c>
      <c r="P48">
        <v>0.35498088774475389</v>
      </c>
      <c r="Q48">
        <v>0.45622140875309852</v>
      </c>
      <c r="R48">
        <v>0.10844851334248486</v>
      </c>
    </row>
    <row r="49" spans="1:18" x14ac:dyDescent="0.25">
      <c r="A49" t="s">
        <v>291</v>
      </c>
      <c r="B49" t="s">
        <v>30</v>
      </c>
      <c r="C49">
        <v>0</v>
      </c>
      <c r="D49">
        <v>1.3714285714285714E-2</v>
      </c>
      <c r="E49">
        <v>4.8000000000000001E-2</v>
      </c>
      <c r="F49">
        <v>3.4285714285714287E-2</v>
      </c>
      <c r="G49">
        <v>3.4285714285714287E-2</v>
      </c>
      <c r="H49">
        <v>1.3714285714285714E-2</v>
      </c>
      <c r="I49">
        <v>0</v>
      </c>
      <c r="J49">
        <v>1.3714285714285714E-2</v>
      </c>
      <c r="K49">
        <v>3.4285714285714287E-2</v>
      </c>
      <c r="L49">
        <v>2.057142857142857E-2</v>
      </c>
      <c r="M49">
        <v>2.057142857142857E-2</v>
      </c>
      <c r="N49">
        <v>6.8571428571428568E-3</v>
      </c>
      <c r="O49">
        <v>4.7896939597533883E-2</v>
      </c>
      <c r="P49">
        <v>0.27496358601160364</v>
      </c>
      <c r="Q49">
        <v>0.42858247191986482</v>
      </c>
      <c r="R49">
        <v>0.24855700247099766</v>
      </c>
    </row>
    <row r="50" spans="1:18" x14ac:dyDescent="0.25">
      <c r="A50" t="s">
        <v>292</v>
      </c>
      <c r="B50" t="s">
        <v>21</v>
      </c>
      <c r="C50">
        <v>2.7135678391959797E-3</v>
      </c>
      <c r="D50">
        <v>2.577889447236181E-2</v>
      </c>
      <c r="E50">
        <v>0.10447236180904522</v>
      </c>
      <c r="F50">
        <v>8.4120603015075374E-2</v>
      </c>
      <c r="G50">
        <v>8.2763819095477392E-2</v>
      </c>
      <c r="H50">
        <v>3.2562814070351762E-2</v>
      </c>
      <c r="I50">
        <v>1.3567839195979898E-3</v>
      </c>
      <c r="J50">
        <v>1.7638190954773869E-2</v>
      </c>
      <c r="K50">
        <v>6.5125628140703523E-2</v>
      </c>
      <c r="L50">
        <v>5.2914572864321607E-2</v>
      </c>
      <c r="M50">
        <v>4.8844221105527642E-2</v>
      </c>
      <c r="N50">
        <v>2.0351758793969849E-2</v>
      </c>
      <c r="O50">
        <v>8.7971714470300569E-2</v>
      </c>
      <c r="P50">
        <v>0.28087181601878686</v>
      </c>
      <c r="Q50">
        <v>0.53066731260477851</v>
      </c>
      <c r="R50">
        <v>0.10048915690613409</v>
      </c>
    </row>
    <row r="51" spans="1:18" x14ac:dyDescent="0.25">
      <c r="A51" t="s">
        <v>293</v>
      </c>
      <c r="B51" t="s">
        <v>29</v>
      </c>
      <c r="C51">
        <v>5.4675994108983796E-3</v>
      </c>
      <c r="D51">
        <v>9.9145802650957293E-2</v>
      </c>
      <c r="E51">
        <v>0.1640279823269514</v>
      </c>
      <c r="F51">
        <v>8.4565537555228276E-2</v>
      </c>
      <c r="G51">
        <v>7.1078792341678937E-2</v>
      </c>
      <c r="H51">
        <v>4.118924889543446E-2</v>
      </c>
      <c r="I51">
        <v>4.7385861561119293E-3</v>
      </c>
      <c r="J51">
        <v>0.11737113402061855</v>
      </c>
      <c r="K51">
        <v>0.20412371134020618</v>
      </c>
      <c r="L51">
        <v>8.8939617083946987E-2</v>
      </c>
      <c r="M51">
        <v>6.160162002945508E-2</v>
      </c>
      <c r="N51">
        <v>4.8114874815905741E-2</v>
      </c>
      <c r="O51">
        <v>0.40732178819044107</v>
      </c>
      <c r="P51">
        <v>0.37930444741656288</v>
      </c>
      <c r="Q51">
        <v>0.12666220848898524</v>
      </c>
      <c r="R51">
        <v>8.6711555904010834E-2</v>
      </c>
    </row>
    <row r="52" spans="1:18" x14ac:dyDescent="0.25">
      <c r="A52" t="s">
        <v>294</v>
      </c>
      <c r="B52" t="s">
        <v>38</v>
      </c>
      <c r="C52">
        <v>5.9845384265575265E-3</v>
      </c>
      <c r="D52">
        <v>6.8394724874943158E-3</v>
      </c>
      <c r="E52">
        <v>1.9877216916780356E-2</v>
      </c>
      <c r="F52">
        <v>1.944974988631196E-2</v>
      </c>
      <c r="G52">
        <v>3.0136425648021829E-2</v>
      </c>
      <c r="H52">
        <v>4.3815370623010462E-2</v>
      </c>
      <c r="I52">
        <v>4.9158708503865391E-3</v>
      </c>
      <c r="J52">
        <v>2.5006821282401091E-2</v>
      </c>
      <c r="K52">
        <v>7.9508867667121425E-2</v>
      </c>
      <c r="L52">
        <v>5.6853115052296496E-2</v>
      </c>
      <c r="M52">
        <v>6.9463392451114145E-2</v>
      </c>
      <c r="N52">
        <v>0.10814915870850386</v>
      </c>
      <c r="O52">
        <v>0.44493409081036206</v>
      </c>
      <c r="P52">
        <v>0.16518083396483235</v>
      </c>
      <c r="Q52">
        <v>0.28800538021067129</v>
      </c>
      <c r="R52">
        <v>0.10187969501413431</v>
      </c>
    </row>
    <row r="53" spans="1:18" x14ac:dyDescent="0.25">
      <c r="A53" t="s">
        <v>295</v>
      </c>
      <c r="B53" t="s">
        <v>8</v>
      </c>
      <c r="C53">
        <v>2.4725997369574749E-3</v>
      </c>
      <c r="D53">
        <v>4.8215694870670761E-2</v>
      </c>
      <c r="E53">
        <v>0.16772468215694872</v>
      </c>
      <c r="F53">
        <v>9.8903989478298995E-2</v>
      </c>
      <c r="G53">
        <v>7.9947391494958345E-2</v>
      </c>
      <c r="H53">
        <v>5.398509425690487E-2</v>
      </c>
      <c r="I53">
        <v>2.4725997369574749E-3</v>
      </c>
      <c r="J53">
        <v>5.4809294169224025E-2</v>
      </c>
      <c r="K53">
        <v>0.19698377904427883</v>
      </c>
      <c r="L53">
        <v>0.11003068829460763</v>
      </c>
      <c r="M53">
        <v>7.4590092064883817E-2</v>
      </c>
      <c r="N53">
        <v>5.0276194651468653E-2</v>
      </c>
      <c r="O53">
        <v>0.59777293987106206</v>
      </c>
      <c r="P53">
        <v>7.2432265404441198E-2</v>
      </c>
      <c r="Q53">
        <v>0.11274407629534952</v>
      </c>
      <c r="R53">
        <v>0.2170507184291473</v>
      </c>
    </row>
    <row r="54" spans="1:18" x14ac:dyDescent="0.25">
      <c r="A54" t="s">
        <v>296</v>
      </c>
      <c r="B54" t="s">
        <v>48</v>
      </c>
      <c r="C54">
        <v>3.8425617078052033E-3</v>
      </c>
      <c r="D54">
        <v>8.9659773182121406E-3</v>
      </c>
      <c r="E54">
        <v>4.2588392261507672E-2</v>
      </c>
      <c r="F54">
        <v>5.6677785190126749E-2</v>
      </c>
      <c r="G54">
        <v>7.5250166777851901E-2</v>
      </c>
      <c r="H54">
        <v>7.8132088058705806E-2</v>
      </c>
      <c r="I54">
        <v>8.3255503669112749E-3</v>
      </c>
      <c r="J54">
        <v>2.9779853235490327E-2</v>
      </c>
      <c r="K54">
        <v>0.13032688458972649</v>
      </c>
      <c r="L54">
        <v>0.14249499666444296</v>
      </c>
      <c r="M54">
        <v>0.1693929286190794</v>
      </c>
      <c r="N54">
        <v>0.21390260173448966</v>
      </c>
      <c r="O54">
        <v>0.15375863917645738</v>
      </c>
      <c r="P54">
        <v>0.48956961004741939</v>
      </c>
      <c r="Q54">
        <v>0.20955639413346411</v>
      </c>
      <c r="R54">
        <v>0.14711535664265915</v>
      </c>
    </row>
    <row r="55" spans="1:18" x14ac:dyDescent="0.25">
      <c r="A55" t="s">
        <v>297</v>
      </c>
      <c r="B55" t="s">
        <v>31</v>
      </c>
      <c r="C55">
        <v>0.91994004596476031</v>
      </c>
      <c r="D55">
        <v>0</v>
      </c>
      <c r="E55">
        <v>0</v>
      </c>
      <c r="F55">
        <v>0</v>
      </c>
      <c r="G55">
        <v>0</v>
      </c>
      <c r="H55">
        <v>0</v>
      </c>
      <c r="I55">
        <v>0.88717583186223892</v>
      </c>
      <c r="J55">
        <v>4.8714172467774706</v>
      </c>
      <c r="K55">
        <v>1.8014668753955301</v>
      </c>
      <c r="L55">
        <v>0</v>
      </c>
      <c r="M55">
        <v>0</v>
      </c>
      <c r="N55">
        <v>0</v>
      </c>
      <c r="O55">
        <v>0.12882714007424562</v>
      </c>
      <c r="P55">
        <v>0.14209578417319074</v>
      </c>
      <c r="Q55">
        <v>0.25972176278163711</v>
      </c>
      <c r="R55">
        <v>0.4693553129709267</v>
      </c>
    </row>
    <row r="56" spans="1:18" x14ac:dyDescent="0.25">
      <c r="A56" t="s">
        <v>298</v>
      </c>
      <c r="B56" t="s">
        <v>191</v>
      </c>
      <c r="C56">
        <v>0</v>
      </c>
      <c r="D56">
        <v>1.3512860348696703E-2</v>
      </c>
      <c r="E56">
        <v>7.6124633177973411E-2</v>
      </c>
      <c r="F56">
        <v>7.1893664767823232E-2</v>
      </c>
      <c r="G56">
        <v>8.3799413084757468E-2</v>
      </c>
      <c r="H56">
        <v>0.10223200414293113</v>
      </c>
      <c r="I56">
        <v>0</v>
      </c>
      <c r="J56">
        <v>1.7645434144657347E-2</v>
      </c>
      <c r="K56">
        <v>0.10875884688417055</v>
      </c>
      <c r="L56">
        <v>0.10948040738822717</v>
      </c>
      <c r="M56">
        <v>0.13689970654237874</v>
      </c>
      <c r="N56">
        <v>0.22962023131365442</v>
      </c>
      <c r="O56">
        <v>0.73723375056092644</v>
      </c>
      <c r="P56">
        <v>0.11537003716273619</v>
      </c>
      <c r="Q56">
        <v>0.11756581899612688</v>
      </c>
      <c r="R56">
        <v>2.9830393280210518E-2</v>
      </c>
    </row>
    <row r="57" spans="1:18" x14ac:dyDescent="0.25">
      <c r="A57" t="s">
        <v>299</v>
      </c>
      <c r="B57" t="s">
        <v>28</v>
      </c>
      <c r="C57">
        <v>3.1958332965334506</v>
      </c>
      <c r="D57">
        <v>3.0880389710752922</v>
      </c>
      <c r="E57">
        <v>4.162678185029808</v>
      </c>
      <c r="F57">
        <v>2.7233554868624417</v>
      </c>
      <c r="G57">
        <v>2.6126701258555967</v>
      </c>
      <c r="H57">
        <v>1.7181011260763963</v>
      </c>
      <c r="I57">
        <v>2.4181447339368511</v>
      </c>
      <c r="J57">
        <v>3.6583989843232496</v>
      </c>
      <c r="K57">
        <v>5.3005071759770361</v>
      </c>
      <c r="L57">
        <v>3.0037859350850074</v>
      </c>
      <c r="M57">
        <v>2.8749283506292778</v>
      </c>
      <c r="N57">
        <v>2.6519056083020529</v>
      </c>
      <c r="O57">
        <v>0.66308384496928352</v>
      </c>
      <c r="P57">
        <v>4.9904370811085313E-2</v>
      </c>
      <c r="Q57">
        <v>0.27355062866829732</v>
      </c>
      <c r="R57">
        <v>1.3461155551333783E-2</v>
      </c>
    </row>
    <row r="58" spans="1:18" x14ac:dyDescent="0.25">
      <c r="A58" t="s">
        <v>300</v>
      </c>
      <c r="B58" t="s">
        <v>39</v>
      </c>
      <c r="C58">
        <v>9.7909624381405658E-2</v>
      </c>
      <c r="D58">
        <v>0.14709700100056788</v>
      </c>
      <c r="E58">
        <v>0.34349766083452771</v>
      </c>
      <c r="F58">
        <v>0.35942832418399634</v>
      </c>
      <c r="G58">
        <v>0.51629303117985881</v>
      </c>
      <c r="H58">
        <v>0.58245761107655691</v>
      </c>
      <c r="I58">
        <v>7.8606776819275803E-2</v>
      </c>
      <c r="J58">
        <v>0.17663268341491117</v>
      </c>
      <c r="K58">
        <v>0.34024175883609614</v>
      </c>
      <c r="L58">
        <v>0.32338083777278998</v>
      </c>
      <c r="M58">
        <v>0.51047892046837395</v>
      </c>
      <c r="N58">
        <v>0.82455718110278808</v>
      </c>
      <c r="O58">
        <v>0.37535044408356188</v>
      </c>
      <c r="P58">
        <v>0.20679323952661124</v>
      </c>
      <c r="Q58">
        <v>0.26119526775054325</v>
      </c>
      <c r="R58">
        <v>0.15666104863928376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FC1AB-FB8F-4181-9FFF-A873EB7FB9A5}">
  <dimension ref="A1:Z59"/>
  <sheetViews>
    <sheetView workbookViewId="0">
      <selection activeCell="W3" sqref="W3"/>
    </sheetView>
  </sheetViews>
  <sheetFormatPr defaultRowHeight="15" x14ac:dyDescent="0.25"/>
  <cols>
    <col min="1" max="1" width="14.28515625" customWidth="1"/>
    <col min="2" max="2" width="50.140625" bestFit="1" customWidth="1"/>
    <col min="5" max="5" width="10.5703125" customWidth="1"/>
    <col min="16" max="16" width="12.140625" customWidth="1"/>
    <col min="18" max="18" width="10" bestFit="1" customWidth="1"/>
  </cols>
  <sheetData>
    <row r="1" spans="1:26" x14ac:dyDescent="0.25">
      <c r="A1" s="27"/>
      <c r="B1" s="27"/>
      <c r="C1" s="27"/>
      <c r="D1" s="27"/>
      <c r="E1" s="34" t="s">
        <v>305</v>
      </c>
      <c r="F1" s="34"/>
      <c r="G1" s="34"/>
      <c r="H1" s="34"/>
      <c r="I1" s="34"/>
      <c r="J1" s="34"/>
      <c r="K1" s="34"/>
      <c r="L1" s="34"/>
      <c r="M1" s="34"/>
      <c r="N1" s="34"/>
      <c r="O1" s="34"/>
      <c r="P1" s="34"/>
      <c r="Q1" s="27"/>
      <c r="R1" s="34" t="s">
        <v>311</v>
      </c>
      <c r="S1" s="34"/>
      <c r="T1" s="34"/>
      <c r="U1" s="34"/>
      <c r="V1" s="27"/>
      <c r="W1" s="34" t="s">
        <v>311</v>
      </c>
      <c r="X1" s="34"/>
      <c r="Y1" s="34"/>
      <c r="Z1" s="34"/>
    </row>
    <row r="2" spans="1:26" x14ac:dyDescent="0.25">
      <c r="A2" s="30" t="s">
        <v>306</v>
      </c>
      <c r="B2" s="30" t="s">
        <v>244</v>
      </c>
      <c r="C2" s="30" t="s">
        <v>303</v>
      </c>
      <c r="D2" s="30" t="s">
        <v>304</v>
      </c>
      <c r="E2" s="30" t="s">
        <v>314</v>
      </c>
      <c r="F2" s="30" t="s">
        <v>315</v>
      </c>
      <c r="G2" s="30" t="s">
        <v>316</v>
      </c>
      <c r="H2" s="30" t="s">
        <v>317</v>
      </c>
      <c r="I2" s="30" t="s">
        <v>318</v>
      </c>
      <c r="J2" s="30" t="s">
        <v>319</v>
      </c>
      <c r="K2" s="30" t="s">
        <v>320</v>
      </c>
      <c r="L2" s="30" t="s">
        <v>321</v>
      </c>
      <c r="M2" s="30" t="s">
        <v>322</v>
      </c>
      <c r="N2" s="30" t="s">
        <v>323</v>
      </c>
      <c r="O2" s="30" t="s">
        <v>324</v>
      </c>
      <c r="P2" s="30" t="s">
        <v>325</v>
      </c>
      <c r="Q2" s="30" t="s">
        <v>312</v>
      </c>
      <c r="R2" s="30" t="s">
        <v>307</v>
      </c>
      <c r="S2" s="30" t="s">
        <v>308</v>
      </c>
      <c r="T2" s="30" t="s">
        <v>309</v>
      </c>
      <c r="U2" s="30" t="s">
        <v>310</v>
      </c>
      <c r="V2" s="30" t="s">
        <v>313</v>
      </c>
      <c r="W2" s="30" t="s">
        <v>307</v>
      </c>
      <c r="X2" s="30" t="s">
        <v>308</v>
      </c>
      <c r="Y2" s="30" t="s">
        <v>309</v>
      </c>
      <c r="Z2" s="30" t="s">
        <v>310</v>
      </c>
    </row>
    <row r="3" spans="1:26" x14ac:dyDescent="0.25">
      <c r="A3" t="s">
        <v>301</v>
      </c>
      <c r="B3" t="s">
        <v>302</v>
      </c>
      <c r="C3">
        <f>Final!E61</f>
        <v>15.809999999999974</v>
      </c>
      <c r="D3" t="b">
        <f>C3=ROUND(SUM(E3:P3),2)</f>
        <v>1</v>
      </c>
      <c r="E3">
        <f>$C3*Final!F61</f>
        <v>1.3920218051999977</v>
      </c>
      <c r="F3">
        <f>$C3*Final!G61</f>
        <v>1.8719944331999969</v>
      </c>
      <c r="G3">
        <f>$C3*Final!H61</f>
        <v>1.942505135999997</v>
      </c>
      <c r="H3">
        <f>$C3*Final!I61</f>
        <v>0.96720109739999838</v>
      </c>
      <c r="I3">
        <f>$C3*Final!J61</f>
        <v>0.81530588999999865</v>
      </c>
      <c r="J3">
        <f>$C3*Final!K61</f>
        <v>0.65712699809999886</v>
      </c>
      <c r="K3">
        <f>$C3*Final!M61</f>
        <v>1.3265233466999977</v>
      </c>
      <c r="L3">
        <f>$C3*Final!N61</f>
        <v>1.8428153390999968</v>
      </c>
      <c r="M3">
        <f>$C3*Final!O61</f>
        <v>2.0309048537999965</v>
      </c>
      <c r="N3">
        <f>$C3*Final!P61</f>
        <v>1.0352240966999984</v>
      </c>
      <c r="O3">
        <f>$C3*Final!Q61</f>
        <v>0.94421794229999845</v>
      </c>
      <c r="P3">
        <f>$C3*Final!R61</f>
        <v>0.98415906149999843</v>
      </c>
      <c r="Q3" t="b">
        <f>SUM(R3:U3)=1</f>
        <v>0</v>
      </c>
      <c r="R3">
        <f>Final!BJ59/Final!AX59</f>
        <v>0.4834729048057726</v>
      </c>
      <c r="S3">
        <f>Final!BE59/Final!AX59</f>
        <v>0.14541119274988218</v>
      </c>
      <c r="T3">
        <f>Final!AY59/Final!AX59</f>
        <v>0.233777197669334</v>
      </c>
      <c r="U3">
        <f>Final!BL59/Final!AX59</f>
        <v>0.13733871151147631</v>
      </c>
      <c r="V3" t="b">
        <f>SUM(W3:Z3)=1</f>
        <v>1</v>
      </c>
      <c r="W3">
        <f>R3/SUM($R3:$U3)</f>
        <v>0.48347290154887423</v>
      </c>
      <c r="X3">
        <f t="shared" ref="X3:Z3" si="0">S3/SUM($R3:$U3)</f>
        <v>0.14541119177032474</v>
      </c>
      <c r="Y3">
        <f t="shared" si="0"/>
        <v>0.23377719609450207</v>
      </c>
      <c r="Z3">
        <f t="shared" si="0"/>
        <v>0.13733871058629887</v>
      </c>
    </row>
    <row r="4" spans="1:26" x14ac:dyDescent="0.25">
      <c r="A4" t="s">
        <v>245</v>
      </c>
      <c r="B4" t="s">
        <v>25</v>
      </c>
      <c r="C4">
        <f>INDEX(Final!$E:$E, MATCH(Полуфабрикат!$B4,Final!$B:$B,0))</f>
        <v>1.22</v>
      </c>
      <c r="D4" t="b">
        <f t="shared" ref="D4:D59" si="1">C4=ROUND(SUM(E4:P4),2)</f>
        <v>1</v>
      </c>
      <c r="E4">
        <f>$C4*INDEX(Final!F:F,MATCH(Полуфабрикат!$B4,Final!$B:$B,0))/INDEX(Final!$T:$T,MATCH(Полуфабрикат!$B4,Final!$B:$B,0))</f>
        <v>4.8541114058355435E-3</v>
      </c>
      <c r="F4">
        <f>$C4*INDEX(Final!G:G,MATCH(Полуфабрикат!$B4,Final!$B:$B,0))/INDEX(Final!$T:$T,MATCH(Полуфабрикат!$B4,Final!$B:$B,0))</f>
        <v>9.627320954907162E-2</v>
      </c>
      <c r="G4">
        <f>$C4*INDEX(Final!H:H,MATCH(Полуфабрикат!$B4,Final!$B:$B,0))/INDEX(Final!$T:$T,MATCH(Полуфабрикат!$B4,Final!$B:$B,0))</f>
        <v>0.3770026525198939</v>
      </c>
      <c r="H4">
        <f>$C4*INDEX(Final!I:I,MATCH(Полуфабрикат!$B4,Final!$B:$B,0))/INDEX(Final!$T:$T,MATCH(Полуфабрикат!$B4,Final!$B:$B,0))</f>
        <v>0.2273342175066313</v>
      </c>
      <c r="I4">
        <f>$C4*INDEX(Final!J:J,MATCH(Полуфабрикат!$B4,Final!$B:$B,0))/INDEX(Final!$T:$T,MATCH(Полуфабрикат!$B4,Final!$B:$B,0))</f>
        <v>8.4137931034482763E-2</v>
      </c>
      <c r="J4">
        <f>$C4*INDEX(Final!K:K,MATCH(Полуфабрикат!$B4,Final!$B:$B,0))/INDEX(Final!$T:$T,MATCH(Полуфабрикат!$B4,Final!$B:$B,0))</f>
        <v>2.3461538461538461E-2</v>
      </c>
      <c r="K4">
        <f>$C4*INDEX(Final!M:M,MATCH(Полуфабрикат!$B4,Final!$B:$B,0))/INDEX(Final!$T:$T,MATCH(Полуфабрикат!$B4,Final!$B:$B,0))</f>
        <v>4.8541114058355435E-3</v>
      </c>
      <c r="L4">
        <f>$C4*INDEX(Final!N:N,MATCH(Полуфабрикат!$B4,Final!$B:$B,0))/INDEX(Final!$T:$T,MATCH(Полуфабрикат!$B4,Final!$B:$B,0))</f>
        <v>5.3395225464190982E-2</v>
      </c>
      <c r="M4">
        <f>$C4*INDEX(Final!O:O,MATCH(Полуфабрикат!$B4,Final!$B:$B,0))/INDEX(Final!$T:$T,MATCH(Полуфабрикат!$B4,Final!$B:$B,0))</f>
        <v>0.22652519893899203</v>
      </c>
      <c r="N4">
        <f>$C4*INDEX(Final!P:P,MATCH(Полуфабрикат!$B4,Final!$B:$B,0))/INDEX(Final!$T:$T,MATCH(Полуфабрикат!$B4,Final!$B:$B,0))</f>
        <v>8.4946949602122013E-2</v>
      </c>
      <c r="O4">
        <f>$C4*INDEX(Final!Q:Q,MATCH(Полуфабрикат!$B4,Final!$B:$B,0))/INDEX(Final!$T:$T,MATCH(Полуфабрикат!$B4,Final!$B:$B,0))</f>
        <v>2.7506631299734748E-2</v>
      </c>
      <c r="P4">
        <f>$C4*INDEX(Final!R:R,MATCH(Полуфабрикат!$B4,Final!$B:$B,0))/INDEX(Final!$T:$T,MATCH(Полуфабрикат!$B4,Final!$B:$B,0))</f>
        <v>9.708222811671087E-3</v>
      </c>
      <c r="Q4" t="b">
        <f t="shared" ref="Q4:Q59" si="2">SUM(R4:U4)=1</f>
        <v>1</v>
      </c>
      <c r="R4">
        <f>INDEX(Final!$BJ:$BJ,MATCH(Полуфабрикат!$B4,Final!$B:$B,0))/INDEX(Final!$AX:$AX,MATCH(Полуфабрикат!$B4,Final!$B:$B,0))</f>
        <v>0.3725611609423603</v>
      </c>
      <c r="S4">
        <f>INDEX(Final!$BE:$BE,MATCH(Полуфабрикат!$B4,Final!$B:$B,0))/INDEX(Final!$AX:$AX,MATCH(Полуфабрикат!$B4,Final!$B:$B,0))</f>
        <v>0.48688992647106377</v>
      </c>
      <c r="T4">
        <f>INDEX(Final!$AY:$AY,MATCH(Полуфабрикат!$B4,Final!$B:$B,0))/INDEX(Final!$AX:$AX,MATCH(Полуфабрикат!$B4,Final!$B:$B,0))</f>
        <v>0.10829997477899284</v>
      </c>
      <c r="U4">
        <f>INDEX(Final!$BL:$BL,MATCH(Полуфабрикат!$B4,Final!$B:$B,0))/INDEX(Final!$AX:$AX,MATCH(Полуфабрикат!$B4,Final!$B:$B,0))</f>
        <v>3.2248937807583117E-2</v>
      </c>
      <c r="V4" t="b">
        <f t="shared" ref="V4:V59" si="3">SUM(W4:Z4)=1</f>
        <v>1</v>
      </c>
      <c r="W4">
        <f t="shared" ref="W4:W59" si="4">R4/SUM($R4:$U4)</f>
        <v>0.37256116094236036</v>
      </c>
      <c r="X4">
        <f t="shared" ref="X4:X59" si="5">S4/SUM($R4:$U4)</f>
        <v>0.48688992647106383</v>
      </c>
      <c r="Y4">
        <f t="shared" ref="Y4:Y59" si="6">T4/SUM($R4:$U4)</f>
        <v>0.10829997477899285</v>
      </c>
      <c r="Z4">
        <f t="shared" ref="Z4:Z59" si="7">U4/SUM($R4:$U4)</f>
        <v>3.2248937807583124E-2</v>
      </c>
    </row>
    <row r="5" spans="1:26" x14ac:dyDescent="0.25">
      <c r="A5" t="s">
        <v>246</v>
      </c>
      <c r="B5" t="s">
        <v>1</v>
      </c>
      <c r="C5">
        <f>INDEX(Final!$E:$E, MATCH(Полуфабрикат!$B5,Final!$B:$B,0))</f>
        <v>1.67</v>
      </c>
      <c r="D5" t="b">
        <f t="shared" si="1"/>
        <v>1</v>
      </c>
      <c r="E5">
        <f>$C5*INDEX(Final!F:F,MATCH(Полуфабрикат!$B5,Final!$B:$B,0))/INDEX(Final!$T:$T,MATCH(Полуфабрикат!$B5,Final!$B:$B,0))</f>
        <v>0</v>
      </c>
      <c r="F5">
        <f>$C5*INDEX(Final!G:G,MATCH(Полуфабрикат!$B5,Final!$B:$B,0))/INDEX(Final!$T:$T,MATCH(Полуфабрикат!$B5,Final!$B:$B,0))</f>
        <v>7.4792066538707618E-3</v>
      </c>
      <c r="G5">
        <f>$C5*INDEX(Final!H:H,MATCH(Полуфабрикат!$B5,Final!$B:$B,0))/INDEX(Final!$T:$T,MATCH(Полуфабрикат!$B5,Final!$B:$B,0))</f>
        <v>8.2271273192578376E-2</v>
      </c>
      <c r="H5">
        <f>$C5*INDEX(Final!I:I,MATCH(Полуфабрикат!$B5,Final!$B:$B,0))/INDEX(Final!$T:$T,MATCH(Полуфабрикат!$B5,Final!$B:$B,0))</f>
        <v>0.17629558541266796</v>
      </c>
      <c r="I5">
        <f>$C5*INDEX(Final!J:J,MATCH(Полуфабрикат!$B5,Final!$B:$B,0))/INDEX(Final!$T:$T,MATCH(Полуфабрикат!$B5,Final!$B:$B,0))</f>
        <v>0.32481126039667307</v>
      </c>
      <c r="J5">
        <f>$C5*INDEX(Final!K:K,MATCH(Полуфабрикат!$B5,Final!$B:$B,0))/INDEX(Final!$T:$T,MATCH(Полуфабрикат!$B5,Final!$B:$B,0))</f>
        <v>0.34511196417146511</v>
      </c>
      <c r="K5">
        <f>$C5*INDEX(Final!M:M,MATCH(Полуфабрикат!$B5,Final!$B:$B,0))/INDEX(Final!$T:$T,MATCH(Полуфабрикат!$B5,Final!$B:$B,0))</f>
        <v>0</v>
      </c>
      <c r="L5">
        <f>$C5*INDEX(Final!N:N,MATCH(Полуфабрикат!$B5,Final!$B:$B,0))/INDEX(Final!$T:$T,MATCH(Полуфабрикат!$B5,Final!$B:$B,0))</f>
        <v>7.4792066538707618E-3</v>
      </c>
      <c r="M5">
        <f>$C5*INDEX(Final!O:O,MATCH(Полуфабрикат!$B5,Final!$B:$B,0))/INDEX(Final!$T:$T,MATCH(Полуфабрикат!$B5,Final!$B:$B,0))</f>
        <v>8.1202815099168268E-2</v>
      </c>
      <c r="N5">
        <f>$C5*INDEX(Final!P:P,MATCH(Полуфабрикат!$B5,Final!$B:$B,0))/INDEX(Final!$T:$T,MATCH(Полуфабрикат!$B5,Final!$B:$B,0))</f>
        <v>0.13355726167626358</v>
      </c>
      <c r="O5">
        <f>$C5*INDEX(Final!Q:Q,MATCH(Полуфабрикат!$B5,Final!$B:$B,0))/INDEX(Final!$T:$T,MATCH(Полуфабрикат!$B5,Final!$B:$B,0))</f>
        <v>0.21262316058861164</v>
      </c>
      <c r="P5">
        <f>$C5*INDEX(Final!R:R,MATCH(Полуфабрикат!$B5,Final!$B:$B,0))/INDEX(Final!$T:$T,MATCH(Полуфабрикат!$B5,Final!$B:$B,0))</f>
        <v>0.30023672424824055</v>
      </c>
      <c r="Q5" t="b">
        <f t="shared" si="2"/>
        <v>1</v>
      </c>
      <c r="R5">
        <f>INDEX(Final!$BJ:$BJ,MATCH(Полуфабрикат!$B5,Final!$B:$B,0))/INDEX(Final!$AX:$AX,MATCH(Полуфабрикат!$B5,Final!$B:$B,0))</f>
        <v>0.74102055450932558</v>
      </c>
      <c r="S5">
        <f>INDEX(Final!$BE:$BE,MATCH(Полуфабрикат!$B5,Final!$B:$B,0))/INDEX(Final!$AX:$AX,MATCH(Полуфабрикат!$B5,Final!$B:$B,0))</f>
        <v>5.3122047006628106E-2</v>
      </c>
      <c r="T5">
        <f>INDEX(Final!$AY:$AY,MATCH(Полуфабрикат!$B5,Final!$B:$B,0))/INDEX(Final!$AX:$AX,MATCH(Полуфабрикат!$B5,Final!$B:$B,0))</f>
        <v>0.16916756582871464</v>
      </c>
      <c r="U5">
        <f>INDEX(Final!$BL:$BL,MATCH(Полуфабрикат!$B5,Final!$B:$B,0))/INDEX(Final!$AX:$AX,MATCH(Полуфабрикат!$B5,Final!$B:$B,0))</f>
        <v>3.6689832655331642E-2</v>
      </c>
      <c r="V5" t="b">
        <f t="shared" si="3"/>
        <v>1</v>
      </c>
      <c r="W5">
        <f t="shared" si="4"/>
        <v>0.74102055450932558</v>
      </c>
      <c r="X5">
        <f t="shared" si="5"/>
        <v>5.3122047006628106E-2</v>
      </c>
      <c r="Y5">
        <f t="shared" si="6"/>
        <v>0.16916756582871464</v>
      </c>
      <c r="Z5">
        <f t="shared" si="7"/>
        <v>3.6689832655331642E-2</v>
      </c>
    </row>
    <row r="6" spans="1:26" x14ac:dyDescent="0.25">
      <c r="A6" t="s">
        <v>247</v>
      </c>
      <c r="B6" t="s">
        <v>19</v>
      </c>
      <c r="C6">
        <f>INDEX(Final!$E:$E, MATCH(Полуфабрикат!$B6,Final!$B:$B,0))</f>
        <v>0.22</v>
      </c>
      <c r="D6" t="b">
        <f t="shared" si="1"/>
        <v>1</v>
      </c>
      <c r="E6">
        <f>$C6*INDEX(Final!F:F,MATCH(Полуфабрикат!$B6,Final!$B:$B,0))/INDEX(Final!$T:$T,MATCH(Полуфабрикат!$B6,Final!$B:$B,0))</f>
        <v>0</v>
      </c>
      <c r="F6">
        <f>$C6*INDEX(Final!G:G,MATCH(Полуфабрикат!$B6,Final!$B:$B,0))/INDEX(Final!$T:$T,MATCH(Полуфабрикат!$B6,Final!$B:$B,0))</f>
        <v>6.0356652949245546E-4</v>
      </c>
      <c r="G6">
        <f>$C6*INDEX(Final!H:H,MATCH(Полуфабрикат!$B6,Final!$B:$B,0))/INDEX(Final!$T:$T,MATCH(Полуфабрикат!$B6,Final!$B:$B,0))</f>
        <v>6.5386374028349337E-3</v>
      </c>
      <c r="H6">
        <f>$C6*INDEX(Final!I:I,MATCH(Полуфабрикат!$B6,Final!$B:$B,0))/INDEX(Final!$T:$T,MATCH(Полуфабрикат!$B6,Final!$B:$B,0))</f>
        <v>1.7402834933699131E-2</v>
      </c>
      <c r="I6">
        <f>$C6*INDEX(Final!J:J,MATCH(Полуфабрикат!$B6,Final!$B:$B,0))/INDEX(Final!$T:$T,MATCH(Полуфабрикат!$B6,Final!$B:$B,0))</f>
        <v>3.7421124828532236E-2</v>
      </c>
      <c r="J6">
        <f>$C6*INDEX(Final!K:K,MATCH(Полуфабрикат!$B6,Final!$B:$B,0))/INDEX(Final!$T:$T,MATCH(Полуфабрикат!$B6,Final!$B:$B,0))</f>
        <v>5.1705532693187013E-2</v>
      </c>
      <c r="K6">
        <f>$C6*INDEX(Final!M:M,MATCH(Полуфабрикат!$B6,Final!$B:$B,0))/INDEX(Final!$T:$T,MATCH(Полуфабрикат!$B6,Final!$B:$B,0))</f>
        <v>0</v>
      </c>
      <c r="L6">
        <f>$C6*INDEX(Final!N:N,MATCH(Полуфабрикат!$B6,Final!$B:$B,0))/INDEX(Final!$T:$T,MATCH(Полуфабрикат!$B6,Final!$B:$B,0))</f>
        <v>8.0475537265660728E-4</v>
      </c>
      <c r="M6">
        <f>$C6*INDEX(Final!O:O,MATCH(Полуфабрикат!$B6,Final!$B:$B,0))/INDEX(Final!$T:$T,MATCH(Полуфабрикат!$B6,Final!$B:$B,0))</f>
        <v>7.242798353909465E-3</v>
      </c>
      <c r="N6">
        <f>$C6*INDEX(Final!P:P,MATCH(Полуфабрикат!$B6,Final!$B:$B,0))/INDEX(Final!$T:$T,MATCH(Полуфабрикат!$B6,Final!$B:$B,0))</f>
        <v>1.5089163237311385E-2</v>
      </c>
      <c r="O6">
        <f>$C6*INDEX(Final!Q:Q,MATCH(Полуфабрикат!$B6,Final!$B:$B,0))/INDEX(Final!$T:$T,MATCH(Полуфабрикат!$B6,Final!$B:$B,0))</f>
        <v>2.7663465935070873E-2</v>
      </c>
      <c r="P6">
        <f>$C6*INDEX(Final!R:R,MATCH(Полуфабрикат!$B6,Final!$B:$B,0))/INDEX(Final!$T:$T,MATCH(Полуфабрикат!$B6,Final!$B:$B,0))</f>
        <v>5.5427526291723823E-2</v>
      </c>
      <c r="Q6" t="b">
        <f t="shared" si="2"/>
        <v>1</v>
      </c>
      <c r="R6">
        <f>INDEX(Final!$BJ:$BJ,MATCH(Полуфабрикат!$B6,Final!$B:$B,0))/INDEX(Final!$AX:$AX,MATCH(Полуфабрикат!$B6,Final!$B:$B,0))</f>
        <v>0.10384531827069303</v>
      </c>
      <c r="S6">
        <f>INDEX(Final!$BE:$BE,MATCH(Полуфабрикат!$B6,Final!$B:$B,0))/INDEX(Final!$AX:$AX,MATCH(Полуфабрикат!$B6,Final!$B:$B,0))</f>
        <v>0.75765962337102144</v>
      </c>
      <c r="T6">
        <f>INDEX(Final!$AY:$AY,MATCH(Полуфабрикат!$B6,Final!$B:$B,0))/INDEX(Final!$AX:$AX,MATCH(Полуфабрикат!$B6,Final!$B:$B,0))</f>
        <v>0.13152732779819085</v>
      </c>
      <c r="U6">
        <f>INDEX(Final!$BL:$BL,MATCH(Полуфабрикат!$B6,Final!$B:$B,0))/INDEX(Final!$AX:$AX,MATCH(Полуфабрикат!$B6,Final!$B:$B,0))</f>
        <v>6.9677305600947086E-3</v>
      </c>
      <c r="V6" t="b">
        <f t="shared" si="3"/>
        <v>1</v>
      </c>
      <c r="W6">
        <f t="shared" si="4"/>
        <v>0.10384531827069303</v>
      </c>
      <c r="X6">
        <f t="shared" si="5"/>
        <v>0.75765962337102144</v>
      </c>
      <c r="Y6">
        <f t="shared" si="6"/>
        <v>0.13152732779819085</v>
      </c>
      <c r="Z6">
        <f t="shared" si="7"/>
        <v>6.9677305600947086E-3</v>
      </c>
    </row>
    <row r="7" spans="1:26" x14ac:dyDescent="0.25">
      <c r="A7" t="s">
        <v>248</v>
      </c>
      <c r="B7" t="s">
        <v>3</v>
      </c>
      <c r="C7">
        <f>INDEX(Final!$E:$E, MATCH(Полуфабрикат!$B7,Final!$B:$B,0))</f>
        <v>2.2799999999999998</v>
      </c>
      <c r="D7" t="b">
        <f t="shared" si="1"/>
        <v>1</v>
      </c>
      <c r="E7">
        <f>$C7*INDEX(Final!F:F,MATCH(Полуфабрикат!$B7,Final!$B:$B,0))/INDEX(Final!$T:$T,MATCH(Полуфабрикат!$B7,Final!$B:$B,0))</f>
        <v>0</v>
      </c>
      <c r="F7">
        <f>$C7*INDEX(Final!G:G,MATCH(Полуфабрикат!$B7,Final!$B:$B,0))/INDEX(Final!$T:$T,MATCH(Полуфабрикат!$B7,Final!$B:$B,0))</f>
        <v>4.5921450151057393E-3</v>
      </c>
      <c r="G7">
        <f>$C7*INDEX(Final!H:H,MATCH(Полуфабрикат!$B7,Final!$B:$B,0))/INDEX(Final!$T:$T,MATCH(Полуфабрикат!$B7,Final!$B:$B,0))</f>
        <v>0.12628398791540785</v>
      </c>
      <c r="H7">
        <f>$C7*INDEX(Final!I:I,MATCH(Полуфабрикат!$B7,Final!$B:$B,0))/INDEX(Final!$T:$T,MATCH(Полуфабрикат!$B7,Final!$B:$B,0))</f>
        <v>0.35589123867069489</v>
      </c>
      <c r="I7">
        <f>$C7*INDEX(Final!J:J,MATCH(Полуфабрикат!$B7,Final!$B:$B,0))/INDEX(Final!$T:$T,MATCH(Полуфабрикат!$B7,Final!$B:$B,0))</f>
        <v>0.56253776435045311</v>
      </c>
      <c r="J7">
        <f>$C7*INDEX(Final!K:K,MATCH(Полуфабрикат!$B7,Final!$B:$B,0))/INDEX(Final!$T:$T,MATCH(Полуфабрикат!$B7,Final!$B:$B,0))</f>
        <v>0.39262839879154077</v>
      </c>
      <c r="K7">
        <f>$C7*INDEX(Final!M:M,MATCH(Полуфабрикат!$B7,Final!$B:$B,0))/INDEX(Final!$T:$T,MATCH(Полуфабрикат!$B7,Final!$B:$B,0))</f>
        <v>0</v>
      </c>
      <c r="L7">
        <f>$C7*INDEX(Final!N:N,MATCH(Полуфабрикат!$B7,Final!$B:$B,0))/INDEX(Final!$T:$T,MATCH(Полуфабрикат!$B7,Final!$B:$B,0))</f>
        <v>4.5921450151057393E-3</v>
      </c>
      <c r="M7">
        <f>$C7*INDEX(Final!O:O,MATCH(Полуфабрикат!$B7,Final!$B:$B,0))/INDEX(Final!$T:$T,MATCH(Полуфабрикат!$B7,Final!$B:$B,0))</f>
        <v>0.10561933534743202</v>
      </c>
      <c r="N7">
        <f>$C7*INDEX(Final!P:P,MATCH(Полуфабрикат!$B7,Final!$B:$B,0))/INDEX(Final!$T:$T,MATCH(Полуфабрикат!$B7,Final!$B:$B,0))</f>
        <v>0.24108761329305131</v>
      </c>
      <c r="O7">
        <f>$C7*INDEX(Final!Q:Q,MATCH(Полуфабрикат!$B7,Final!$B:$B,0))/INDEX(Final!$T:$T,MATCH(Полуфабрикат!$B7,Final!$B:$B,0))</f>
        <v>0.27552870090634435</v>
      </c>
      <c r="P7">
        <f>$C7*INDEX(Final!R:R,MATCH(Полуфабрикат!$B7,Final!$B:$B,0))/INDEX(Final!$T:$T,MATCH(Полуфабрикат!$B7,Final!$B:$B,0))</f>
        <v>0.21353474320241692</v>
      </c>
      <c r="Q7" t="b">
        <f t="shared" si="2"/>
        <v>1</v>
      </c>
      <c r="R7">
        <f>INDEX(Final!$BJ:$BJ,MATCH(Полуфабрикат!$B7,Final!$B:$B,0))/INDEX(Final!$AX:$AX,MATCH(Полуфабрикат!$B7,Final!$B:$B,0))</f>
        <v>0.66430479033984524</v>
      </c>
      <c r="S7">
        <f>INDEX(Final!$BE:$BE,MATCH(Полуфабрикат!$B7,Final!$B:$B,0))/INDEX(Final!$AX:$AX,MATCH(Полуфабрикат!$B7,Final!$B:$B,0))</f>
        <v>0.18309240225823659</v>
      </c>
      <c r="T7">
        <f>INDEX(Final!$AY:$AY,MATCH(Полуфабрикат!$B7,Final!$B:$B,0))/INDEX(Final!$AX:$AX,MATCH(Полуфабрикат!$B7,Final!$B:$B,0))</f>
        <v>0.1119327111368868</v>
      </c>
      <c r="U7">
        <f>INDEX(Final!$BL:$BL,MATCH(Полуфабрикат!$B7,Final!$B:$B,0))/INDEX(Final!$AX:$AX,MATCH(Полуфабрикат!$B7,Final!$B:$B,0))</f>
        <v>4.067009626503134E-2</v>
      </c>
      <c r="V7" t="b">
        <f t="shared" si="3"/>
        <v>1</v>
      </c>
      <c r="W7">
        <f t="shared" si="4"/>
        <v>0.66430479033984524</v>
      </c>
      <c r="X7">
        <f t="shared" si="5"/>
        <v>0.18309240225823659</v>
      </c>
      <c r="Y7">
        <f t="shared" si="6"/>
        <v>0.1119327111368868</v>
      </c>
      <c r="Z7">
        <f t="shared" si="7"/>
        <v>4.067009626503134E-2</v>
      </c>
    </row>
    <row r="8" spans="1:26" x14ac:dyDescent="0.25">
      <c r="A8" t="s">
        <v>249</v>
      </c>
      <c r="B8" t="s">
        <v>22</v>
      </c>
      <c r="C8">
        <f>INDEX(Final!$E:$E, MATCH(Полуфабрикат!$B8,Final!$B:$B,0))</f>
        <v>0.09</v>
      </c>
      <c r="D8" t="b">
        <f t="shared" si="1"/>
        <v>1</v>
      </c>
      <c r="E8">
        <f>$C8*INDEX(Final!F:F,MATCH(Полуфабрикат!$B8,Final!$B:$B,0))/INDEX(Final!$T:$T,MATCH(Полуфабрикат!$B8,Final!$B:$B,0))</f>
        <v>0</v>
      </c>
      <c r="F8">
        <f>$C8*INDEX(Final!G:G,MATCH(Полуфабрикат!$B8,Final!$B:$B,0))/INDEX(Final!$T:$T,MATCH(Полуфабрикат!$B8,Final!$B:$B,0))</f>
        <v>1.7208413001912047E-4</v>
      </c>
      <c r="G8">
        <f>$C8*INDEX(Final!H:H,MATCH(Полуфабрикат!$B8,Final!$B:$B,0))/INDEX(Final!$T:$T,MATCH(Полуфабрикат!$B8,Final!$B:$B,0))</f>
        <v>3.2695984703632885E-3</v>
      </c>
      <c r="H8">
        <f>$C8*INDEX(Final!I:I,MATCH(Полуфабрикат!$B8,Final!$B:$B,0))/INDEX(Final!$T:$T,MATCH(Полуфабрикат!$B8,Final!$B:$B,0))</f>
        <v>1.135755258126195E-2</v>
      </c>
      <c r="I8">
        <f>$C8*INDEX(Final!J:J,MATCH(Полуфабрикат!$B8,Final!$B:$B,0))/INDEX(Final!$T:$T,MATCH(Полуфабрикат!$B8,Final!$B:$B,0))</f>
        <v>2.1682600382409177E-2</v>
      </c>
      <c r="J8">
        <f>$C8*INDEX(Final!K:K,MATCH(Полуфабрикат!$B8,Final!$B:$B,0))/INDEX(Final!$T:$T,MATCH(Полуфабрикат!$B8,Final!$B:$B,0))</f>
        <v>1.9445506692160611E-2</v>
      </c>
      <c r="K8">
        <f>$C8*INDEX(Final!M:M,MATCH(Полуфабрикат!$B8,Final!$B:$B,0))/INDEX(Final!$T:$T,MATCH(Полуфабрикат!$B8,Final!$B:$B,0))</f>
        <v>0</v>
      </c>
      <c r="L8">
        <f>$C8*INDEX(Final!N:N,MATCH(Полуфабрикат!$B8,Final!$B:$B,0))/INDEX(Final!$T:$T,MATCH(Полуфабрикат!$B8,Final!$B:$B,0))</f>
        <v>3.4416826003824094E-4</v>
      </c>
      <c r="M8">
        <f>$C8*INDEX(Final!O:O,MATCH(Полуфабрикат!$B8,Final!$B:$B,0))/INDEX(Final!$T:$T,MATCH(Полуфабрикат!$B8,Final!$B:$B,0))</f>
        <v>3.2695984703632885E-3</v>
      </c>
      <c r="N8">
        <f>$C8*INDEX(Final!P:P,MATCH(Полуфабрикат!$B8,Final!$B:$B,0))/INDEX(Final!$T:$T,MATCH(Полуфабрикат!$B8,Final!$B:$B,0))</f>
        <v>8.2600382409177813E-3</v>
      </c>
      <c r="O8">
        <f>$C8*INDEX(Final!Q:Q,MATCH(Полуфабрикат!$B8,Final!$B:$B,0))/INDEX(Final!$T:$T,MATCH(Полуфабрикат!$B8,Final!$B:$B,0))</f>
        <v>1.118546845124283E-2</v>
      </c>
      <c r="P8">
        <f>$C8*INDEX(Final!R:R,MATCH(Полуфабрикат!$B8,Final!$B:$B,0))/INDEX(Final!$T:$T,MATCH(Полуфабрикат!$B8,Final!$B:$B,0))</f>
        <v>1.0841300191204589E-2</v>
      </c>
      <c r="Q8" t="b">
        <f t="shared" si="2"/>
        <v>0</v>
      </c>
      <c r="R8">
        <f>INDEX(Final!$BJ:$BJ,MATCH(Полуфабрикат!$B8,Final!$B:$B,0))/INDEX(Final!$AX:$AX,MATCH(Полуфабрикат!$B8,Final!$B:$B,0))</f>
        <v>0.315432591986477</v>
      </c>
      <c r="S8">
        <f>INDEX(Final!$BE:$BE,MATCH(Полуфабрикат!$B8,Final!$B:$B,0))/INDEX(Final!$AX:$AX,MATCH(Полуфабрикат!$B8,Final!$B:$B,0))</f>
        <v>0.23143052454319379</v>
      </c>
      <c r="T8">
        <f>INDEX(Final!$AY:$AY,MATCH(Полуфабрикат!$B8,Final!$B:$B,0))/INDEX(Final!$AX:$AX,MATCH(Полуфабрикат!$B8,Final!$B:$B,0))</f>
        <v>0.28558163515269197</v>
      </c>
      <c r="U8">
        <f>INDEX(Final!$BL:$BL,MATCH(Полуфабрикат!$B8,Final!$B:$B,0))/INDEX(Final!$AX:$AX,MATCH(Полуфабрикат!$B8,Final!$B:$B,0))</f>
        <v>0.16755396578458318</v>
      </c>
      <c r="V8" t="b">
        <f t="shared" si="3"/>
        <v>1</v>
      </c>
      <c r="W8">
        <f t="shared" si="4"/>
        <v>0.3154329965397214</v>
      </c>
      <c r="X8">
        <f t="shared" si="5"/>
        <v>0.23143082136087192</v>
      </c>
      <c r="Y8">
        <f t="shared" si="6"/>
        <v>0.28558200142104845</v>
      </c>
      <c r="Z8">
        <f t="shared" si="7"/>
        <v>0.16755418067835826</v>
      </c>
    </row>
    <row r="9" spans="1:26" x14ac:dyDescent="0.25">
      <c r="A9" t="s">
        <v>250</v>
      </c>
      <c r="B9" t="s">
        <v>2</v>
      </c>
      <c r="C9">
        <f>INDEX(Final!$E:$E, MATCH(Полуфабрикат!$B9,Final!$B:$B,0))</f>
        <v>2.92</v>
      </c>
      <c r="D9" t="b">
        <f t="shared" si="1"/>
        <v>1</v>
      </c>
      <c r="E9">
        <f>$C9*INDEX(Final!F:F,MATCH(Полуфабрикат!$B9,Final!$B:$B,0))/INDEX(Final!$T:$T,MATCH(Полуфабрикат!$B9,Final!$B:$B,0))</f>
        <v>0</v>
      </c>
      <c r="F9">
        <f>$C9*INDEX(Final!G:G,MATCH(Полуфабрикат!$B9,Final!$B:$B,0))/INDEX(Final!$T:$T,MATCH(Полуфабрикат!$B9,Final!$B:$B,0))</f>
        <v>0</v>
      </c>
      <c r="G9">
        <f>$C9*INDEX(Final!H:H,MATCH(Полуфабрикат!$B9,Final!$B:$B,0))/INDEX(Final!$T:$T,MATCH(Полуфабрикат!$B9,Final!$B:$B,0))</f>
        <v>0</v>
      </c>
      <c r="H9">
        <f>$C9*INDEX(Final!I:I,MATCH(Полуфабрикат!$B9,Final!$B:$B,0))/INDEX(Final!$T:$T,MATCH(Полуфабрикат!$B9,Final!$B:$B,0))</f>
        <v>0</v>
      </c>
      <c r="I9">
        <f>$C9*INDEX(Final!J:J,MATCH(Полуфабрикат!$B9,Final!$B:$B,0))/INDEX(Final!$T:$T,MATCH(Полуфабрикат!$B9,Final!$B:$B,0))</f>
        <v>0</v>
      </c>
      <c r="J9">
        <f>$C9*INDEX(Final!K:K,MATCH(Полуфабрикат!$B9,Final!$B:$B,0))/INDEX(Final!$T:$T,MATCH(Полуфабрикат!$B9,Final!$B:$B,0))</f>
        <v>0</v>
      </c>
      <c r="K9">
        <f>$C9*INDEX(Final!M:M,MATCH(Полуфабрикат!$B9,Final!$B:$B,0))/INDEX(Final!$T:$T,MATCH(Полуфабрикат!$B9,Final!$B:$B,0))</f>
        <v>0</v>
      </c>
      <c r="L9">
        <f>$C9*INDEX(Final!N:N,MATCH(Полуфабрикат!$B9,Final!$B:$B,0))/INDEX(Final!$T:$T,MATCH(Полуфабрикат!$B9,Final!$B:$B,0))</f>
        <v>3.9711007224819378E-2</v>
      </c>
      <c r="M9">
        <f>$C9*INDEX(Final!O:O,MATCH(Полуфабрикат!$B9,Final!$B:$B,0))/INDEX(Final!$T:$T,MATCH(Полуфабрикат!$B9,Final!$B:$B,0))</f>
        <v>0.76940076498087551</v>
      </c>
      <c r="N9">
        <f>$C9*INDEX(Final!P:P,MATCH(Полуфабрикат!$B9,Final!$B:$B,0))/INDEX(Final!$T:$T,MATCH(Полуфабрикат!$B9,Final!$B:$B,0))</f>
        <v>0.63909902252443684</v>
      </c>
      <c r="O9">
        <f>$C9*INDEX(Final!Q:Q,MATCH(Полуфабрикат!$B9,Final!$B:$B,0))/INDEX(Final!$T:$T,MATCH(Полуфабрикат!$B9,Final!$B:$B,0))</f>
        <v>0.78429239269018269</v>
      </c>
      <c r="P9">
        <f>$C9*INDEX(Final!R:R,MATCH(Полуфабрикат!$B9,Final!$B:$B,0))/INDEX(Final!$T:$T,MATCH(Полуфабрикат!$B9,Final!$B:$B,0))</f>
        <v>0.68501487462813426</v>
      </c>
      <c r="Q9" t="b">
        <f t="shared" si="2"/>
        <v>1</v>
      </c>
      <c r="R9">
        <f>INDEX(Final!$BJ:$BJ,MATCH(Полуфабрикат!$B9,Final!$B:$B,0))/INDEX(Final!$AX:$AX,MATCH(Полуфабрикат!$B9,Final!$B:$B,0))</f>
        <v>0.50196834006119306</v>
      </c>
      <c r="S9">
        <f>INDEX(Final!$BE:$BE,MATCH(Полуфабрикат!$B9,Final!$B:$B,0))/INDEX(Final!$AX:$AX,MATCH(Полуфабрикат!$B9,Final!$B:$B,0))</f>
        <v>0.20562550253395306</v>
      </c>
      <c r="T9">
        <f>INDEX(Final!$AY:$AY,MATCH(Полуфабрикат!$B9,Final!$B:$B,0))/INDEX(Final!$AX:$AX,MATCH(Полуфабрикат!$B9,Final!$B:$B,0))</f>
        <v>0.21594494197756253</v>
      </c>
      <c r="U9">
        <f>INDEX(Final!$BL:$BL,MATCH(Полуфабрикат!$B9,Final!$B:$B,0))/INDEX(Final!$AX:$AX,MATCH(Полуфабрикат!$B9,Final!$B:$B,0))</f>
        <v>7.6461215427291326E-2</v>
      </c>
      <c r="V9" t="b">
        <f t="shared" si="3"/>
        <v>1</v>
      </c>
      <c r="W9">
        <f t="shared" si="4"/>
        <v>0.50196834006119306</v>
      </c>
      <c r="X9">
        <f t="shared" si="5"/>
        <v>0.20562550253395306</v>
      </c>
      <c r="Y9">
        <f t="shared" si="6"/>
        <v>0.21594494197756253</v>
      </c>
      <c r="Z9">
        <f t="shared" si="7"/>
        <v>7.6461215427291326E-2</v>
      </c>
    </row>
    <row r="10" spans="1:26" x14ac:dyDescent="0.25">
      <c r="A10" t="s">
        <v>251</v>
      </c>
      <c r="B10" t="s">
        <v>20</v>
      </c>
      <c r="C10">
        <f>INDEX(Final!$E:$E, MATCH(Полуфабрикат!$B10,Final!$B:$B,0))</f>
        <v>0.57999999999999996</v>
      </c>
      <c r="D10" t="b">
        <f t="shared" si="1"/>
        <v>1</v>
      </c>
      <c r="E10">
        <f>$C10*INDEX(Final!F:F,MATCH(Полуфабрикат!$B10,Final!$B:$B,0))/INDEX(Final!$T:$T,MATCH(Полуфабрикат!$B10,Final!$B:$B,0))</f>
        <v>0</v>
      </c>
      <c r="F10">
        <f>$C10*INDEX(Final!G:G,MATCH(Полуфабрикат!$B10,Final!$B:$B,0))/INDEX(Final!$T:$T,MATCH(Полуфабрикат!$B10,Final!$B:$B,0))</f>
        <v>0</v>
      </c>
      <c r="G10">
        <f>$C10*INDEX(Final!H:H,MATCH(Полуфабрикат!$B10,Final!$B:$B,0))/INDEX(Final!$T:$T,MATCH(Полуфабрикат!$B10,Final!$B:$B,0))</f>
        <v>0</v>
      </c>
      <c r="H10">
        <f>$C10*INDEX(Final!I:I,MATCH(Полуфабрикат!$B10,Final!$B:$B,0))/INDEX(Final!$T:$T,MATCH(Полуфабрикат!$B10,Final!$B:$B,0))</f>
        <v>0</v>
      </c>
      <c r="I10">
        <f>$C10*INDEX(Final!J:J,MATCH(Полуфабрикат!$B10,Final!$B:$B,0))/INDEX(Final!$T:$T,MATCH(Полуфабрикат!$B10,Final!$B:$B,0))</f>
        <v>0</v>
      </c>
      <c r="J10">
        <f>$C10*INDEX(Final!K:K,MATCH(Полуфабрикат!$B10,Final!$B:$B,0))/INDEX(Final!$T:$T,MATCH(Полуфабрикат!$B10,Final!$B:$B,0))</f>
        <v>0</v>
      </c>
      <c r="K10">
        <f>$C10*INDEX(Final!M:M,MATCH(Полуфабрикат!$B10,Final!$B:$B,0))/INDEX(Final!$T:$T,MATCH(Полуфабрикат!$B10,Final!$B:$B,0))</f>
        <v>0</v>
      </c>
      <c r="L10">
        <f>$C10*INDEX(Final!N:N,MATCH(Полуфабрикат!$B10,Final!$B:$B,0))/INDEX(Final!$T:$T,MATCH(Полуфабрикат!$B10,Final!$B:$B,0))</f>
        <v>1.5322089006299532E-3</v>
      </c>
      <c r="M10">
        <f>$C10*INDEX(Final!O:O,MATCH(Полуфабрикат!$B10,Final!$B:$B,0))/INDEX(Final!$T:$T,MATCH(Полуфабрикат!$B10,Final!$B:$B,0))</f>
        <v>8.1560658402763664E-2</v>
      </c>
      <c r="N10">
        <f>$C10*INDEX(Final!P:P,MATCH(Полуфабрикат!$B10,Final!$B:$B,0))/INDEX(Final!$T:$T,MATCH(Полуфабрикат!$B10,Final!$B:$B,0))</f>
        <v>0.12387319650477543</v>
      </c>
      <c r="O10">
        <f>$C10*INDEX(Final!Q:Q,MATCH(Полуфабрикат!$B10,Final!$B:$B,0))/INDEX(Final!$T:$T,MATCH(Полуфабрикат!$B10,Final!$B:$B,0))</f>
        <v>0.17054663686242633</v>
      </c>
      <c r="P10">
        <f>$C10*INDEX(Final!R:R,MATCH(Полуфабрикат!$B10,Final!$B:$B,0))/INDEX(Final!$T:$T,MATCH(Полуфабрикат!$B10,Final!$B:$B,0))</f>
        <v>0.20236943710627922</v>
      </c>
      <c r="Q10" t="b">
        <f t="shared" si="2"/>
        <v>0</v>
      </c>
      <c r="R10">
        <f>INDEX(Final!$BJ:$BJ,MATCH(Полуфабрикат!$B10,Final!$B:$B,0))/INDEX(Final!$AX:$AX,MATCH(Полуфабрикат!$B10,Final!$B:$B,0))</f>
        <v>0.27906387241273606</v>
      </c>
      <c r="S10">
        <f>INDEX(Final!$BE:$BE,MATCH(Полуфабрикат!$B10,Final!$B:$B,0))/INDEX(Final!$AX:$AX,MATCH(Полуфабрикат!$B10,Final!$B:$B,0))</f>
        <v>2.4646129518004666E-2</v>
      </c>
      <c r="T10">
        <f>INDEX(Final!$AY:$AY,MATCH(Полуфабрикат!$B10,Final!$B:$B,0))/INDEX(Final!$AX:$AX,MATCH(Полуфабрикат!$B10,Final!$B:$B,0))</f>
        <v>0.6798733956585683</v>
      </c>
      <c r="U10">
        <f>INDEX(Final!$BL:$BL,MATCH(Полуфабрикат!$B10,Final!$B:$B,0))/INDEX(Final!$AX:$AX,MATCH(Полуфабрикат!$B10,Final!$B:$B,0))</f>
        <v>1.641701060111346E-2</v>
      </c>
      <c r="V10" t="b">
        <f t="shared" si="3"/>
        <v>1</v>
      </c>
      <c r="W10">
        <f t="shared" si="4"/>
        <v>0.27906375850158255</v>
      </c>
      <c r="X10">
        <f t="shared" si="5"/>
        <v>2.4646119457694751E-2</v>
      </c>
      <c r="Y10">
        <f t="shared" si="6"/>
        <v>0.67987311814087292</v>
      </c>
      <c r="Z10">
        <f t="shared" si="7"/>
        <v>1.6417003899849701E-2</v>
      </c>
    </row>
    <row r="11" spans="1:26" x14ac:dyDescent="0.25">
      <c r="A11" t="s">
        <v>252</v>
      </c>
      <c r="B11" t="s">
        <v>4</v>
      </c>
      <c r="C11">
        <f>INDEX(Final!$E:$E, MATCH(Полуфабрикат!$B11,Final!$B:$B,0))</f>
        <v>1.54</v>
      </c>
      <c r="D11" t="b">
        <f t="shared" si="1"/>
        <v>1</v>
      </c>
      <c r="E11">
        <f>$C11*INDEX(Final!F:F,MATCH(Полуфабрикат!$B11,Final!$B:$B,0))/INDEX(Final!$T:$T,MATCH(Полуфабрикат!$B11,Final!$B:$B,0))</f>
        <v>0</v>
      </c>
      <c r="F11">
        <f>$C11*INDEX(Final!G:G,MATCH(Полуфабрикат!$B11,Final!$B:$B,0))/INDEX(Final!$T:$T,MATCH(Полуфабрикат!$B11,Final!$B:$B,0))</f>
        <v>0</v>
      </c>
      <c r="G11">
        <f>$C11*INDEX(Final!H:H,MATCH(Полуфабрикат!$B11,Final!$B:$B,0))/INDEX(Final!$T:$T,MATCH(Полуфабрикат!$B11,Final!$B:$B,0))</f>
        <v>3.3038528896672505E-2</v>
      </c>
      <c r="H11">
        <f>$C11*INDEX(Final!I:I,MATCH(Полуфабрикат!$B11,Final!$B:$B,0))/INDEX(Final!$T:$T,MATCH(Полуфабрикат!$B11,Final!$B:$B,0))</f>
        <v>0.21845884413309982</v>
      </c>
      <c r="I11">
        <f>$C11*INDEX(Final!J:J,MATCH(Полуфабрикат!$B11,Final!$B:$B,0))/INDEX(Final!$T:$T,MATCH(Полуфабрикат!$B11,Final!$B:$B,0))</f>
        <v>0.57985989492119094</v>
      </c>
      <c r="J11">
        <f>$C11*INDEX(Final!K:K,MATCH(Полуфабрикат!$B11,Final!$B:$B,0))/INDEX(Final!$T:$T,MATCH(Полуфабрикат!$B11,Final!$B:$B,0))</f>
        <v>0.70796847635726801</v>
      </c>
      <c r="K11">
        <f>$C11*INDEX(Final!M:M,MATCH(Полуфабрикат!$B11,Final!$B:$B,0))/INDEX(Final!$T:$T,MATCH(Полуфабрикат!$B11,Final!$B:$B,0))</f>
        <v>0</v>
      </c>
      <c r="L11">
        <f>$C11*INDEX(Final!N:N,MATCH(Полуфабрикат!$B11,Final!$B:$B,0))/INDEX(Final!$T:$T,MATCH(Полуфабрикат!$B11,Final!$B:$B,0))</f>
        <v>0</v>
      </c>
      <c r="M11">
        <f>$C11*INDEX(Final!O:O,MATCH(Полуфабрикат!$B11,Final!$B:$B,0))/INDEX(Final!$T:$T,MATCH(Полуфабрикат!$B11,Final!$B:$B,0))</f>
        <v>0</v>
      </c>
      <c r="N11">
        <f>$C11*INDEX(Final!P:P,MATCH(Полуфабрикат!$B11,Final!$B:$B,0))/INDEX(Final!$T:$T,MATCH(Полуфабрикат!$B11,Final!$B:$B,0))</f>
        <v>0</v>
      </c>
      <c r="O11">
        <f>$C11*INDEX(Final!Q:Q,MATCH(Полуфабрикат!$B11,Final!$B:$B,0))/INDEX(Final!$T:$T,MATCH(Полуфабрикат!$B11,Final!$B:$B,0))</f>
        <v>0</v>
      </c>
      <c r="P11">
        <f>$C11*INDEX(Final!R:R,MATCH(Полуфабрикат!$B11,Final!$B:$B,0))/INDEX(Final!$T:$T,MATCH(Полуфабрикат!$B11,Final!$B:$B,0))</f>
        <v>0</v>
      </c>
      <c r="Q11" t="b">
        <f t="shared" si="2"/>
        <v>0</v>
      </c>
      <c r="R11">
        <f>INDEX(Final!$BJ:$BJ,MATCH(Полуфабрикат!$B11,Final!$B:$B,0))/INDEX(Final!$AX:$AX,MATCH(Полуфабрикат!$B11,Final!$B:$B,0))</f>
        <v>0.33284740286144671</v>
      </c>
      <c r="S11">
        <f>INDEX(Final!$BE:$BE,MATCH(Полуфабрикат!$B11,Final!$B:$B,0))/INDEX(Final!$AX:$AX,MATCH(Полуфабрикат!$B11,Final!$B:$B,0))</f>
        <v>0.36292148197060381</v>
      </c>
      <c r="T11">
        <f>INDEX(Final!$AY:$AY,MATCH(Полуфабрикат!$B11,Final!$B:$B,0))/INDEX(Final!$AX:$AX,MATCH(Полуфабрикат!$B11,Final!$B:$B,0))</f>
        <v>0.2813476741490249</v>
      </c>
      <c r="U11">
        <f>INDEX(Final!$BL:$BL,MATCH(Полуфабрикат!$B11,Final!$B:$B,0))/INDEX(Final!$AX:$AX,MATCH(Полуфабрикат!$B11,Final!$B:$B,0))</f>
        <v>2.2884047926258332E-2</v>
      </c>
      <c r="V11" t="b">
        <f t="shared" si="3"/>
        <v>1</v>
      </c>
      <c r="W11">
        <f t="shared" si="4"/>
        <v>0.33284720085403952</v>
      </c>
      <c r="X11">
        <f t="shared" si="5"/>
        <v>0.36292126171102851</v>
      </c>
      <c r="Y11">
        <f t="shared" si="6"/>
        <v>0.28134750339716175</v>
      </c>
      <c r="Z11">
        <f t="shared" si="7"/>
        <v>2.288403403777025E-2</v>
      </c>
    </row>
    <row r="12" spans="1:26" x14ac:dyDescent="0.25">
      <c r="A12" t="s">
        <v>253</v>
      </c>
      <c r="B12" t="s">
        <v>24</v>
      </c>
      <c r="C12">
        <f>INDEX(Final!$E:$E, MATCH(Полуфабрикат!$B12,Final!$B:$B,0))</f>
        <v>0.95</v>
      </c>
      <c r="D12" t="b">
        <f t="shared" si="1"/>
        <v>1</v>
      </c>
      <c r="E12">
        <f>$C12*INDEX(Final!F:F,MATCH(Полуфабрикат!$B12,Final!$B:$B,0))/INDEX(Final!$T:$T,MATCH(Полуфабрикат!$B12,Final!$B:$B,0))</f>
        <v>0</v>
      </c>
      <c r="F12">
        <f>$C12*INDEX(Final!G:G,MATCH(Полуфабрикат!$B12,Final!$B:$B,0))/INDEX(Final!$T:$T,MATCH(Полуфабрикат!$B12,Final!$B:$B,0))</f>
        <v>3.0546623794212217E-4</v>
      </c>
      <c r="G12">
        <f>$C12*INDEX(Final!H:H,MATCH(Полуфабрикат!$B12,Final!$B:$B,0))/INDEX(Final!$T:$T,MATCH(Полуфабрикат!$B12,Final!$B:$B,0))</f>
        <v>6.1093247588424439E-3</v>
      </c>
      <c r="H12">
        <f>$C12*INDEX(Final!I:I,MATCH(Полуфабрикат!$B12,Final!$B:$B,0))/INDEX(Final!$T:$T,MATCH(Полуфабрикат!$B12,Final!$B:$B,0))</f>
        <v>9.041800643086817E-2</v>
      </c>
      <c r="I12">
        <f>$C12*INDEX(Final!J:J,MATCH(Полуфабрикат!$B12,Final!$B:$B,0))/INDEX(Final!$T:$T,MATCH(Полуфабрикат!$B12,Final!$B:$B,0))</f>
        <v>0.34334405144694535</v>
      </c>
      <c r="J12">
        <f>$C12*INDEX(Final!K:K,MATCH(Полуфабрикат!$B12,Final!$B:$B,0))/INDEX(Final!$T:$T,MATCH(Полуфабрикат!$B12,Final!$B:$B,0))</f>
        <v>0.51012861736334403</v>
      </c>
      <c r="K12">
        <f>$C12*INDEX(Final!M:M,MATCH(Полуфабрикат!$B12,Final!$B:$B,0))/INDEX(Final!$T:$T,MATCH(Полуфабрикат!$B12,Final!$B:$B,0))</f>
        <v>0</v>
      </c>
      <c r="L12">
        <f>$C12*INDEX(Final!N:N,MATCH(Полуфабрикат!$B12,Final!$B:$B,0))/INDEX(Final!$T:$T,MATCH(Полуфабрикат!$B12,Final!$B:$B,0))</f>
        <v>0</v>
      </c>
      <c r="M12">
        <f>$C12*INDEX(Final!O:O,MATCH(Полуфабрикат!$B12,Final!$B:$B,0))/INDEX(Final!$T:$T,MATCH(Полуфабрикат!$B12,Final!$B:$B,0))</f>
        <v>0</v>
      </c>
      <c r="N12">
        <f>$C12*INDEX(Final!P:P,MATCH(Полуфабрикат!$B12,Final!$B:$B,0))/INDEX(Final!$T:$T,MATCH(Полуфабрикат!$B12,Final!$B:$B,0))</f>
        <v>0</v>
      </c>
      <c r="O12">
        <f>$C12*INDEX(Final!Q:Q,MATCH(Полуфабрикат!$B12,Final!$B:$B,0))/INDEX(Final!$T:$T,MATCH(Полуфабрикат!$B12,Final!$B:$B,0))</f>
        <v>0</v>
      </c>
      <c r="P12">
        <f>$C12*INDEX(Final!R:R,MATCH(Полуфабрикат!$B12,Final!$B:$B,0))/INDEX(Final!$T:$T,MATCH(Полуфабрикат!$B12,Final!$B:$B,0))</f>
        <v>0</v>
      </c>
      <c r="Q12" t="b">
        <f t="shared" si="2"/>
        <v>1</v>
      </c>
      <c r="R12">
        <f>INDEX(Final!$BJ:$BJ,MATCH(Полуфабрикат!$B12,Final!$B:$B,0))/INDEX(Final!$AX:$AX,MATCH(Полуфабрикат!$B12,Final!$B:$B,0))</f>
        <v>0.12189225148797454</v>
      </c>
      <c r="S12">
        <f>INDEX(Final!$BE:$BE,MATCH(Полуфабрикат!$B12,Final!$B:$B,0))/INDEX(Final!$AX:$AX,MATCH(Полуфабрикат!$B12,Final!$B:$B,0))</f>
        <v>0.80800339615413153</v>
      </c>
      <c r="T12">
        <f>INDEX(Final!$AY:$AY,MATCH(Полуфабрикат!$B12,Final!$B:$B,0))/INDEX(Final!$AX:$AX,MATCH(Полуфабрикат!$B12,Final!$B:$B,0))</f>
        <v>4.6952521143993141E-2</v>
      </c>
      <c r="U12">
        <f>INDEX(Final!$BL:$BL,MATCH(Полуфабрикат!$B12,Final!$B:$B,0))/INDEX(Final!$AX:$AX,MATCH(Полуфабрикат!$B12,Final!$B:$B,0))</f>
        <v>2.3151831213900763E-2</v>
      </c>
      <c r="V12" t="b">
        <f t="shared" si="3"/>
        <v>1</v>
      </c>
      <c r="W12">
        <f t="shared" si="4"/>
        <v>0.12189225148797454</v>
      </c>
      <c r="X12">
        <f t="shared" si="5"/>
        <v>0.80800339615413153</v>
      </c>
      <c r="Y12">
        <f t="shared" si="6"/>
        <v>4.6952521143993141E-2</v>
      </c>
      <c r="Z12">
        <f t="shared" si="7"/>
        <v>2.3151831213900763E-2</v>
      </c>
    </row>
    <row r="13" spans="1:26" x14ac:dyDescent="0.25">
      <c r="A13" t="s">
        <v>254</v>
      </c>
      <c r="B13" t="s">
        <v>36</v>
      </c>
      <c r="C13">
        <f>INDEX(Final!$E:$E, MATCH(Полуфабрикат!$B13,Final!$B:$B,0))</f>
        <v>9.59</v>
      </c>
      <c r="D13" t="b">
        <f t="shared" si="1"/>
        <v>1</v>
      </c>
      <c r="E13">
        <f>$C13*INDEX(Final!F:F,MATCH(Полуфабрикат!$B13,Final!$B:$B,0))/INDEX(Final!$T:$T,MATCH(Полуфабрикат!$B13,Final!$B:$B,0))</f>
        <v>4.9643727161997567E-2</v>
      </c>
      <c r="F13">
        <f>$C13*INDEX(Final!G:G,MATCH(Полуфабрикат!$B13,Final!$B:$B,0))/INDEX(Final!$T:$T,MATCH(Полуфабрикат!$B13,Final!$B:$B,0))</f>
        <v>0.14844447827852214</v>
      </c>
      <c r="G13">
        <f>$C13*INDEX(Final!H:H,MATCH(Полуфабрикат!$B13,Final!$B:$B,0))/INDEX(Final!$T:$T,MATCH(Полуфабрикат!$B13,Final!$B:$B,0))</f>
        <v>0.56700923670320746</v>
      </c>
      <c r="H13">
        <f>$C13*INDEX(Final!I:I,MATCH(Полуфабрикат!$B13,Final!$B:$B,0))/INDEX(Final!$T:$T,MATCH(Полуфабрикат!$B13,Final!$B:$B,0))</f>
        <v>0.83737286845310599</v>
      </c>
      <c r="I13">
        <f>$C13*INDEX(Final!J:J,MATCH(Полуфабрикат!$B13,Final!$B:$B,0))/INDEX(Final!$T:$T,MATCH(Полуфабрикат!$B13,Final!$B:$B,0))</f>
        <v>1.4146028725131954</v>
      </c>
      <c r="J13">
        <f>$C13*INDEX(Final!K:K,MATCH(Полуфабрикат!$B13,Final!$B:$B,0))/INDEX(Final!$T:$T,MATCH(Полуфабрикат!$B13,Final!$B:$B,0))</f>
        <v>1.9098233861144944</v>
      </c>
      <c r="K13">
        <f>$C13*INDEX(Final!M:M,MATCH(Полуфабрикат!$B13,Final!$B:$B,0))/INDEX(Final!$T:$T,MATCH(Полуфабрикат!$B13,Final!$B:$B,0))</f>
        <v>3.9422959805115711E-2</v>
      </c>
      <c r="L13">
        <f>$C13*INDEX(Final!N:N,MATCH(Полуфабрикат!$B13,Final!$B:$B,0))/INDEX(Final!$T:$T,MATCH(Полуфабрикат!$B13,Final!$B:$B,0))</f>
        <v>0.21244595006090133</v>
      </c>
      <c r="M13">
        <f>$C13*INDEX(Final!O:O,MATCH(Полуфабрикат!$B13,Final!$B:$B,0))/INDEX(Final!$T:$T,MATCH(Полуфабрикат!$B13,Final!$B:$B,0))</f>
        <v>0.7556067295980512</v>
      </c>
      <c r="N13">
        <f>$C13*INDEX(Final!P:P,MATCH(Полуфабрикат!$B13,Final!$B:$B,0))/INDEX(Final!$T:$T,MATCH(Полуфабрикат!$B13,Final!$B:$B,0))</f>
        <v>0.7475761266747869</v>
      </c>
      <c r="O13">
        <f>$C13*INDEX(Final!Q:Q,MATCH(Полуфабрикат!$B13,Final!$B:$B,0))/INDEX(Final!$T:$T,MATCH(Полуфабрикат!$B13,Final!$B:$B,0))</f>
        <v>1.1157671031262688</v>
      </c>
      <c r="P13">
        <f>$C13*INDEX(Final!R:R,MATCH(Полуфабрикат!$B13,Final!$B:$B,0))/INDEX(Final!$T:$T,MATCH(Полуфабрикат!$B13,Final!$B:$B,0))</f>
        <v>1.7883909358505887</v>
      </c>
      <c r="Q13" t="b">
        <f t="shared" si="2"/>
        <v>1</v>
      </c>
      <c r="R13">
        <f>INDEX(Final!$BJ:$BJ,MATCH(Полуфабрикат!$B13,Final!$B:$B,0))/INDEX(Final!$AX:$AX,MATCH(Полуфабрикат!$B13,Final!$B:$B,0))</f>
        <v>0.62013889100173347</v>
      </c>
      <c r="S13">
        <f>INDEX(Final!$BE:$BE,MATCH(Полуфабрикат!$B13,Final!$B:$B,0))/INDEX(Final!$AX:$AX,MATCH(Полуфабрикат!$B13,Final!$B:$B,0))</f>
        <v>0.22908800546222494</v>
      </c>
      <c r="T13">
        <f>INDEX(Final!$AY:$AY,MATCH(Полуфабрикат!$B13,Final!$B:$B,0))/INDEX(Final!$AX:$AX,MATCH(Полуфабрикат!$B13,Final!$B:$B,0))</f>
        <v>0.11494550731893449</v>
      </c>
      <c r="U13">
        <f>INDEX(Final!$BL:$BL,MATCH(Полуфабрикат!$B13,Final!$B:$B,0))/INDEX(Final!$AX:$AX,MATCH(Полуфабрикат!$B13,Final!$B:$B,0))</f>
        <v>3.5827596217107072E-2</v>
      </c>
      <c r="V13" t="b">
        <f t="shared" si="3"/>
        <v>1</v>
      </c>
      <c r="W13">
        <f t="shared" si="4"/>
        <v>0.62013889100173347</v>
      </c>
      <c r="X13">
        <f t="shared" si="5"/>
        <v>0.22908800546222494</v>
      </c>
      <c r="Y13">
        <f t="shared" si="6"/>
        <v>0.11494550731893449</v>
      </c>
      <c r="Z13">
        <f t="shared" si="7"/>
        <v>3.5827596217107072E-2</v>
      </c>
    </row>
    <row r="14" spans="1:26" x14ac:dyDescent="0.25">
      <c r="A14" t="s">
        <v>255</v>
      </c>
      <c r="B14" t="s">
        <v>23</v>
      </c>
      <c r="C14">
        <f>INDEX(Final!$E:$E, MATCH(Полуфабрикат!$B14,Final!$B:$B,0))</f>
        <v>0.95</v>
      </c>
      <c r="D14" t="b">
        <f t="shared" si="1"/>
        <v>1</v>
      </c>
      <c r="E14">
        <f>$C14*INDEX(Final!F:F,MATCH(Полуфабрикат!$B14,Final!$B:$B,0))/INDEX(Final!$T:$T,MATCH(Полуфабрикат!$B14,Final!$B:$B,0))</f>
        <v>4.0382571732199791E-3</v>
      </c>
      <c r="F14">
        <f>$C14*INDEX(Final!G:G,MATCH(Полуфабрикат!$B14,Final!$B:$B,0))/INDEX(Final!$T:$T,MATCH(Полуфабрикат!$B14,Final!$B:$B,0))</f>
        <v>1.4748417502194706E-2</v>
      </c>
      <c r="G14">
        <f>$C14*INDEX(Final!H:H,MATCH(Полуфабрикат!$B14,Final!$B:$B,0))/INDEX(Final!$T:$T,MATCH(Полуфабрикат!$B14,Final!$B:$B,0))</f>
        <v>5.5262671533521233E-2</v>
      </c>
      <c r="H14">
        <f>$C14*INDEX(Final!I:I,MATCH(Полуфабрикат!$B14,Final!$B:$B,0))/INDEX(Final!$T:$T,MATCH(Полуфабрикат!$B14,Final!$B:$B,0))</f>
        <v>7.3039781915630916E-2</v>
      </c>
      <c r="I14">
        <f>$C14*INDEX(Final!J:J,MATCH(Полуфабрикат!$B14,Final!$B:$B,0))/INDEX(Final!$T:$T,MATCH(Полуфабрикат!$B14,Final!$B:$B,0))</f>
        <v>0.12672226585963128</v>
      </c>
      <c r="J14">
        <f>$C14*INDEX(Final!K:K,MATCH(Полуфабрикат!$B14,Final!$B:$B,0))/INDEX(Final!$T:$T,MATCH(Полуфабрикат!$B14,Final!$B:$B,0))</f>
        <v>0.18558425356928338</v>
      </c>
      <c r="K14">
        <f>$C14*INDEX(Final!M:M,MATCH(Полуфабрикат!$B14,Final!$B:$B,0))/INDEX(Final!$T:$T,MATCH(Полуфабрикат!$B14,Final!$B:$B,0))</f>
        <v>3.2920574781684611E-3</v>
      </c>
      <c r="L14">
        <f>$C14*INDEX(Final!N:N,MATCH(Полуфабрикат!$B14,Final!$B:$B,0))/INDEX(Final!$T:$T,MATCH(Полуфабрикат!$B14,Final!$B:$B,0))</f>
        <v>2.155200295707619E-2</v>
      </c>
      <c r="M14">
        <f>$C14*INDEX(Final!O:O,MATCH(Полуфабрикат!$B14,Final!$B:$B,0))/INDEX(Final!$T:$T,MATCH(Полуфабрикат!$B14,Final!$B:$B,0))</f>
        <v>8.4101095042276947E-2</v>
      </c>
      <c r="N14">
        <f>$C14*INDEX(Final!P:P,MATCH(Полуфабрикат!$B14,Final!$B:$B,0))/INDEX(Final!$T:$T,MATCH(Полуфабрикат!$B14,Final!$B:$B,0))</f>
        <v>7.6990250889433079E-2</v>
      </c>
      <c r="O14">
        <f>$C14*INDEX(Final!Q:Q,MATCH(Полуфабрикат!$B14,Final!$B:$B,0))/INDEX(Final!$T:$T,MATCH(Полуфабрикат!$B14,Final!$B:$B,0))</f>
        <v>0.11043755486762463</v>
      </c>
      <c r="P14">
        <f>$C14*INDEX(Final!R:R,MATCH(Полуфабрикат!$B14,Final!$B:$B,0))/INDEX(Final!$T:$T,MATCH(Полуфабрикат!$B14,Final!$B:$B,0))</f>
        <v>0.19423139121193919</v>
      </c>
      <c r="Q14" t="b">
        <f t="shared" si="2"/>
        <v>1</v>
      </c>
      <c r="R14">
        <f>INDEX(Final!$BJ:$BJ,MATCH(Полуфабрикат!$B14,Final!$B:$B,0))/INDEX(Final!$AX:$AX,MATCH(Полуфабрикат!$B14,Final!$B:$B,0))</f>
        <v>0.1115951681643319</v>
      </c>
      <c r="S14">
        <f>INDEX(Final!$BE:$BE,MATCH(Полуфабрикат!$B14,Final!$B:$B,0))/INDEX(Final!$AX:$AX,MATCH(Полуфабрикат!$B14,Final!$B:$B,0))</f>
        <v>0.19521511422654597</v>
      </c>
      <c r="T14">
        <f>INDEX(Final!$AY:$AY,MATCH(Полуфабрикат!$B14,Final!$B:$B,0))/INDEX(Final!$AX:$AX,MATCH(Полуфабрикат!$B14,Final!$B:$B,0))</f>
        <v>0.43675594425700881</v>
      </c>
      <c r="U14">
        <f>INDEX(Final!$BL:$BL,MATCH(Полуфабрикат!$B14,Final!$B:$B,0))/INDEX(Final!$AX:$AX,MATCH(Полуфабрикат!$B14,Final!$B:$B,0))</f>
        <v>0.25643377335211331</v>
      </c>
      <c r="V14" t="b">
        <f t="shared" si="3"/>
        <v>1</v>
      </c>
      <c r="W14">
        <f t="shared" si="4"/>
        <v>0.1115951681643319</v>
      </c>
      <c r="X14">
        <f t="shared" si="5"/>
        <v>0.19521511422654597</v>
      </c>
      <c r="Y14">
        <f t="shared" si="6"/>
        <v>0.43675594425700881</v>
      </c>
      <c r="Z14">
        <f t="shared" si="7"/>
        <v>0.25643377335211331</v>
      </c>
    </row>
    <row r="15" spans="1:26" x14ac:dyDescent="0.25">
      <c r="A15" t="s">
        <v>256</v>
      </c>
      <c r="B15" t="s">
        <v>27</v>
      </c>
      <c r="C15">
        <f>INDEX(Final!$E:$E, MATCH(Полуфабрикат!$B15,Final!$B:$B,0))</f>
        <v>0.56999999999999995</v>
      </c>
      <c r="D15" t="b">
        <f t="shared" si="1"/>
        <v>1</v>
      </c>
      <c r="E15">
        <f>$C15*INDEX(Final!F:F,MATCH(Полуфабрикат!$B15,Final!$B:$B,0))/INDEX(Final!$T:$T,MATCH(Полуфабрикат!$B15,Final!$B:$B,0))</f>
        <v>2.7242647058823524E-2</v>
      </c>
      <c r="F15">
        <f>$C15*INDEX(Final!G:G,MATCH(Полуфабрикат!$B15,Final!$B:$B,0))/INDEX(Final!$T:$T,MATCH(Полуфабрикат!$B15,Final!$B:$B,0))</f>
        <v>4.5055147058823526E-2</v>
      </c>
      <c r="G15">
        <f>$C15*INDEX(Final!H:H,MATCH(Полуфабрикат!$B15,Final!$B:$B,0))/INDEX(Final!$T:$T,MATCH(Полуфабрикат!$B15,Final!$B:$B,0))</f>
        <v>6.7058823529411754E-2</v>
      </c>
      <c r="H15">
        <f>$C15*INDEX(Final!I:I,MATCH(Полуфабрикат!$B15,Final!$B:$B,0))/INDEX(Final!$T:$T,MATCH(Полуфабрикат!$B15,Final!$B:$B,0))</f>
        <v>4.400735294117647E-2</v>
      </c>
      <c r="I15">
        <f>$C15*INDEX(Final!J:J,MATCH(Полуфабрикат!$B15,Final!$B:$B,0))/INDEX(Final!$T:$T,MATCH(Полуфабрикат!$B15,Final!$B:$B,0))</f>
        <v>4.9246323529411759E-2</v>
      </c>
      <c r="J15">
        <f>$C15*INDEX(Final!K:K,MATCH(Полуфабрикат!$B15,Final!$B:$B,0))/INDEX(Final!$T:$T,MATCH(Полуфабрикат!$B15,Final!$B:$B,0))</f>
        <v>4.2959558823529413E-2</v>
      </c>
      <c r="K15">
        <f>$C15*INDEX(Final!M:M,MATCH(Полуфабрикат!$B15,Final!$B:$B,0))/INDEX(Final!$T:$T,MATCH(Полуфабрикат!$B15,Final!$B:$B,0))</f>
        <v>1.0477941176470587E-2</v>
      </c>
      <c r="L15">
        <f>$C15*INDEX(Final!N:N,MATCH(Полуфабрикат!$B15,Final!$B:$B,0))/INDEX(Final!$T:$T,MATCH(Полуфабрикат!$B15,Final!$B:$B,0))</f>
        <v>4.191176470588235E-2</v>
      </c>
      <c r="M15">
        <f>$C15*INDEX(Final!O:O,MATCH(Полуфабрикат!$B15,Final!$B:$B,0))/INDEX(Final!$T:$T,MATCH(Полуфабрикат!$B15,Final!$B:$B,0))</f>
        <v>8.6966911764705876E-2</v>
      </c>
      <c r="N15">
        <f>$C15*INDEX(Final!P:P,MATCH(Полуфабрикат!$B15,Final!$B:$B,0))/INDEX(Final!$T:$T,MATCH(Полуфабрикат!$B15,Final!$B:$B,0))</f>
        <v>4.9246323529411759E-2</v>
      </c>
      <c r="O15">
        <f>$C15*INDEX(Final!Q:Q,MATCH(Полуфабрикат!$B15,Final!$B:$B,0))/INDEX(Final!$T:$T,MATCH(Полуфабрикат!$B15,Final!$B:$B,0))</f>
        <v>4.8198529411764703E-2</v>
      </c>
      <c r="P15">
        <f>$C15*INDEX(Final!R:R,MATCH(Полуфабрикат!$B15,Final!$B:$B,0))/INDEX(Final!$T:$T,MATCH(Полуфабрикат!$B15,Final!$B:$B,0))</f>
        <v>5.7628676470588225E-2</v>
      </c>
      <c r="Q15" t="b">
        <f t="shared" si="2"/>
        <v>1</v>
      </c>
      <c r="R15">
        <f>INDEX(Final!$BJ:$BJ,MATCH(Полуфабрикат!$B15,Final!$B:$B,0))/INDEX(Final!$AX:$AX,MATCH(Полуфабрикат!$B15,Final!$B:$B,0))</f>
        <v>0.7526676885938719</v>
      </c>
      <c r="S15">
        <f>INDEX(Final!$BE:$BE,MATCH(Полуфабрикат!$B15,Final!$B:$B,0))/INDEX(Final!$AX:$AX,MATCH(Полуфабрикат!$B15,Final!$B:$B,0))</f>
        <v>2.8103890710012021E-2</v>
      </c>
      <c r="T15">
        <f>INDEX(Final!$AY:$AY,MATCH(Полуфабрикат!$B15,Final!$B:$B,0))/INDEX(Final!$AX:$AX,MATCH(Полуфабрикат!$B15,Final!$B:$B,0))</f>
        <v>0.11830618529396075</v>
      </c>
      <c r="U15">
        <f>INDEX(Final!$BL:$BL,MATCH(Полуфабрикат!$B15,Final!$B:$B,0))/INDEX(Final!$AX:$AX,MATCH(Полуфабрикат!$B15,Final!$B:$B,0))</f>
        <v>0.10092223540215532</v>
      </c>
      <c r="V15" t="b">
        <f t="shared" si="3"/>
        <v>1</v>
      </c>
      <c r="W15">
        <f t="shared" si="4"/>
        <v>0.7526676885938719</v>
      </c>
      <c r="X15">
        <f t="shared" si="5"/>
        <v>2.8103890710012021E-2</v>
      </c>
      <c r="Y15">
        <f t="shared" si="6"/>
        <v>0.11830618529396075</v>
      </c>
      <c r="Z15">
        <f t="shared" si="7"/>
        <v>0.10092223540215532</v>
      </c>
    </row>
    <row r="16" spans="1:26" x14ac:dyDescent="0.25">
      <c r="A16" t="s">
        <v>257</v>
      </c>
      <c r="B16" t="s">
        <v>17</v>
      </c>
      <c r="C16">
        <f>INDEX(Final!$E:$E, MATCH(Полуфабрикат!$B16,Final!$B:$B,0))</f>
        <v>8.58</v>
      </c>
      <c r="D16" t="b">
        <f t="shared" si="1"/>
        <v>1</v>
      </c>
      <c r="E16">
        <f>$C16*INDEX(Final!F:F,MATCH(Полуфабрикат!$B16,Final!$B:$B,0))/INDEX(Final!$T:$T,MATCH(Полуфабрикат!$B16,Final!$B:$B,0))</f>
        <v>1.8142307594324E-2</v>
      </c>
      <c r="F16">
        <f>$C16*INDEX(Final!G:G,MATCH(Полуфабрикат!$B16,Final!$B:$B,0))/INDEX(Final!$T:$T,MATCH(Полуфабрикат!$B16,Final!$B:$B,0))</f>
        <v>8.9618627875576395E-2</v>
      </c>
      <c r="G16">
        <f>$C16*INDEX(Final!H:H,MATCH(Полуфабрикат!$B16,Final!$B:$B,0))/INDEX(Final!$T:$T,MATCH(Полуфабрикат!$B16,Final!$B:$B,0))</f>
        <v>0.63410643772450515</v>
      </c>
      <c r="H16">
        <f>$C16*INDEX(Final!I:I,MATCH(Полуфабрикат!$B16,Final!$B:$B,0))/INDEX(Final!$T:$T,MATCH(Полуфабрикат!$B16,Final!$B:$B,0))</f>
        <v>1.089412783736275</v>
      </c>
      <c r="I16">
        <f>$C16*INDEX(Final!J:J,MATCH(Полуфабрикат!$B16,Final!$B:$B,0))/INDEX(Final!$T:$T,MATCH(Полуфабрикат!$B16,Final!$B:$B,0))</f>
        <v>1.5781621786869793</v>
      </c>
      <c r="J16">
        <f>$C16*INDEX(Final!K:K,MATCH(Полуфабрикат!$B16,Final!$B:$B,0))/INDEX(Final!$T:$T,MATCH(Полуфабрикат!$B16,Final!$B:$B,0))</f>
        <v>1.3060275647721193</v>
      </c>
      <c r="K16">
        <f>$C16*INDEX(Final!M:M,MATCH(Полуфабрикат!$B16,Final!$B:$B,0))/INDEX(Final!$T:$T,MATCH(Полуфабрикат!$B16,Final!$B:$B,0))</f>
        <v>1.6830815479071663E-2</v>
      </c>
      <c r="L16">
        <f>$C16*INDEX(Final!N:N,MATCH(Полуфабрикат!$B16,Final!$B:$B,0))/INDEX(Final!$T:$T,MATCH(Полуфабрикат!$B16,Final!$B:$B,0))</f>
        <v>0.10098489287442998</v>
      </c>
      <c r="M16">
        <f>$C16*INDEX(Final!O:O,MATCH(Полуфабрикат!$B16,Final!$B:$B,0))/INDEX(Final!$T:$T,MATCH(Полуфабрикат!$B16,Final!$B:$B,0))</f>
        <v>0.49377678139250503</v>
      </c>
      <c r="N16">
        <f>$C16*INDEX(Final!P:P,MATCH(Полуфабрикат!$B16,Final!$B:$B,0))/INDEX(Final!$T:$T,MATCH(Полуфабрикат!$B16,Final!$B:$B,0))</f>
        <v>0.76503706723053011</v>
      </c>
      <c r="O16">
        <f>$C16*INDEX(Final!Q:Q,MATCH(Полуфабрикат!$B16,Final!$B:$B,0))/INDEX(Final!$T:$T,MATCH(Полуфабрикат!$B16,Final!$B:$B,0))</f>
        <v>1.1073365093113903</v>
      </c>
      <c r="P16">
        <f>$C16*INDEX(Final!R:R,MATCH(Полуфабрикат!$B16,Final!$B:$B,0))/INDEX(Final!$T:$T,MATCH(Полуфабрикат!$B16,Final!$B:$B,0))</f>
        <v>1.3805640333222939</v>
      </c>
      <c r="Q16" t="b">
        <f t="shared" si="2"/>
        <v>1</v>
      </c>
      <c r="R16">
        <f>INDEX(Final!$BJ:$BJ,MATCH(Полуфабрикат!$B16,Final!$B:$B,0))/INDEX(Final!$AX:$AX,MATCH(Полуфабрикат!$B16,Final!$B:$B,0))</f>
        <v>0.30879215047774111</v>
      </c>
      <c r="S16">
        <f>INDEX(Final!$BE:$BE,MATCH(Полуфабрикат!$B16,Final!$B:$B,0))/INDEX(Final!$AX:$AX,MATCH(Полуфабрикат!$B16,Final!$B:$B,0))</f>
        <v>0.28069192124769698</v>
      </c>
      <c r="T16">
        <f>INDEX(Final!$AY:$AY,MATCH(Полуфабрикат!$B16,Final!$B:$B,0))/INDEX(Final!$AX:$AX,MATCH(Полуфабрикат!$B16,Final!$B:$B,0))</f>
        <v>0.29210254295385407</v>
      </c>
      <c r="U16">
        <f>INDEX(Final!$BL:$BL,MATCH(Полуфабрикат!$B16,Final!$B:$B,0))/INDEX(Final!$AX:$AX,MATCH(Полуфабрикат!$B16,Final!$B:$B,0))</f>
        <v>0.11841338532070783</v>
      </c>
      <c r="V16" t="b">
        <f t="shared" si="3"/>
        <v>1</v>
      </c>
      <c r="W16">
        <f t="shared" si="4"/>
        <v>0.30879215047774111</v>
      </c>
      <c r="X16">
        <f t="shared" si="5"/>
        <v>0.28069192124769698</v>
      </c>
      <c r="Y16">
        <f t="shared" si="6"/>
        <v>0.29210254295385407</v>
      </c>
      <c r="Z16">
        <f t="shared" si="7"/>
        <v>0.11841338532070783</v>
      </c>
    </row>
    <row r="17" spans="1:26" x14ac:dyDescent="0.25">
      <c r="A17" t="s">
        <v>258</v>
      </c>
      <c r="B17" t="s">
        <v>211</v>
      </c>
      <c r="C17">
        <f>INDEX(Final!$E:$E, MATCH(Полуфабрикат!$B17,Final!$B:$B,0))</f>
        <v>1.04</v>
      </c>
      <c r="D17" t="b">
        <f t="shared" si="1"/>
        <v>1</v>
      </c>
      <c r="E17">
        <f>$C17*INDEX(Final!F:F,MATCH(Полуфабрикат!$B17,Final!$B:$B,0))/INDEX(Final!$T:$T,MATCH(Полуфабрикат!$B17,Final!$B:$B,0))</f>
        <v>5.981922760887428E-2</v>
      </c>
      <c r="F17">
        <f>$C17*INDEX(Final!G:G,MATCH(Полуфабрикат!$B17,Final!$B:$B,0))/INDEX(Final!$T:$T,MATCH(Полуфабрикат!$B17,Final!$B:$B,0))</f>
        <v>6.2382908792111752E-2</v>
      </c>
      <c r="G17">
        <f>$C17*INDEX(Final!H:H,MATCH(Полуфабрикат!$B17,Final!$B:$B,0))/INDEX(Final!$T:$T,MATCH(Полуфабрикат!$B17,Final!$B:$B,0))</f>
        <v>0.11280197206244864</v>
      </c>
      <c r="H17">
        <f>$C17*INDEX(Final!I:I,MATCH(Полуфабрикат!$B17,Final!$B:$B,0))/INDEX(Final!$T:$T,MATCH(Полуфабрикат!$B17,Final!$B:$B,0))</f>
        <v>0.10169268693508628</v>
      </c>
      <c r="I17">
        <f>$C17*INDEX(Final!J:J,MATCH(Полуфабрикат!$B17,Final!$B:$B,0))/INDEX(Final!$T:$T,MATCH(Полуфабрикат!$B17,Final!$B:$B,0))</f>
        <v>0.12305669679539852</v>
      </c>
      <c r="J17">
        <f>$C17*INDEX(Final!K:K,MATCH(Полуфабрикат!$B17,Final!$B:$B,0))/INDEX(Final!$T:$T,MATCH(Полуфабрикат!$B17,Final!$B:$B,0))</f>
        <v>0.10083812654067378</v>
      </c>
      <c r="K17">
        <f>$C17*INDEX(Final!M:M,MATCH(Полуфабрикат!$B17,Final!$B:$B,0))/INDEX(Final!$T:$T,MATCH(Полуфабрикат!$B17,Final!$B:$B,0))</f>
        <v>5.2982744453574364E-2</v>
      </c>
      <c r="L17">
        <f>$C17*INDEX(Final!N:N,MATCH(Полуфабрикат!$B17,Final!$B:$B,0))/INDEX(Final!$T:$T,MATCH(Полуфабрикат!$B17,Final!$B:$B,0))</f>
        <v>6.4946589975349217E-2</v>
      </c>
      <c r="M17">
        <f>$C17*INDEX(Final!O:O,MATCH(Полуфабрикат!$B17,Final!$B:$B,0))/INDEX(Final!$T:$T,MATCH(Полуфабрикат!$B17,Final!$B:$B,0))</f>
        <v>0.10169268693508628</v>
      </c>
      <c r="N17">
        <f>$C17*INDEX(Final!P:P,MATCH(Полуфабрикат!$B17,Final!$B:$B,0))/INDEX(Final!$T:$T,MATCH(Полуфабрикат!$B17,Final!$B:$B,0))</f>
        <v>7.3492193919474119E-2</v>
      </c>
      <c r="O17">
        <f>$C17*INDEX(Final!Q:Q,MATCH(Полуфабрикат!$B17,Final!$B:$B,0))/INDEX(Final!$T:$T,MATCH(Полуфабрикат!$B17,Final!$B:$B,0))</f>
        <v>8.8874281018898937E-2</v>
      </c>
      <c r="P17">
        <f>$C17*INDEX(Final!R:R,MATCH(Полуфабрикат!$B17,Final!$B:$B,0))/INDEX(Final!$T:$T,MATCH(Полуфабрикат!$B17,Final!$B:$B,0))</f>
        <v>9.8274445357436319E-2</v>
      </c>
      <c r="Q17" t="b">
        <f t="shared" si="2"/>
        <v>1</v>
      </c>
      <c r="R17">
        <f>INDEX(Final!$BJ:$BJ,MATCH(Полуфабрикат!$B17,Final!$B:$B,0))/INDEX(Final!$AX:$AX,MATCH(Полуфабрикат!$B17,Final!$B:$B,0))</f>
        <v>4.909438692469776E-2</v>
      </c>
      <c r="S17">
        <f>INDEX(Final!$BE:$BE,MATCH(Полуфабрикат!$B17,Final!$B:$B,0))/INDEX(Final!$AX:$AX,MATCH(Полуфабрикат!$B17,Final!$B:$B,0))</f>
        <v>0.18647248542142242</v>
      </c>
      <c r="T17">
        <f>INDEX(Final!$AY:$AY,MATCH(Полуфабрикат!$B17,Final!$B:$B,0))/INDEX(Final!$AX:$AX,MATCH(Полуфабрикат!$B17,Final!$B:$B,0))</f>
        <v>0.40291230532186545</v>
      </c>
      <c r="U17">
        <f>INDEX(Final!$BL:$BL,MATCH(Полуфабрикат!$B17,Final!$B:$B,0))/INDEX(Final!$AX:$AX,MATCH(Полуфабрикат!$B17,Final!$B:$B,0))</f>
        <v>0.36152082233201438</v>
      </c>
      <c r="V17" t="b">
        <f t="shared" si="3"/>
        <v>1</v>
      </c>
      <c r="W17">
        <f t="shared" si="4"/>
        <v>4.909438692469776E-2</v>
      </c>
      <c r="X17">
        <f t="shared" si="5"/>
        <v>0.18647248542142242</v>
      </c>
      <c r="Y17">
        <f t="shared" si="6"/>
        <v>0.40291230532186545</v>
      </c>
      <c r="Z17">
        <f t="shared" si="7"/>
        <v>0.36152082233201438</v>
      </c>
    </row>
    <row r="18" spans="1:26" x14ac:dyDescent="0.25">
      <c r="A18" t="s">
        <v>259</v>
      </c>
      <c r="B18" t="s">
        <v>15</v>
      </c>
      <c r="C18">
        <f>INDEX(Final!$E:$E, MATCH(Полуфабрикат!$B18,Final!$B:$B,0))</f>
        <v>0.32</v>
      </c>
      <c r="D18" t="b">
        <f t="shared" si="1"/>
        <v>1</v>
      </c>
      <c r="E18">
        <f>$C18*INDEX(Final!F:F,MATCH(Полуфабрикат!$B18,Final!$B:$B,0))/INDEX(Final!$T:$T,MATCH(Полуфабрикат!$B18,Final!$B:$B,0))</f>
        <v>4.7272727272727272E-2</v>
      </c>
      <c r="F18">
        <f>$C18*INDEX(Final!G:G,MATCH(Полуфабрикат!$B18,Final!$B:$B,0))/INDEX(Final!$T:$T,MATCH(Полуфабрикат!$B18,Final!$B:$B,0))</f>
        <v>6.9090909090909092E-2</v>
      </c>
      <c r="G18">
        <f>$C18*INDEX(Final!H:H,MATCH(Полуфабрикат!$B18,Final!$B:$B,0))/INDEX(Final!$T:$T,MATCH(Полуфабрикат!$B18,Final!$B:$B,0))</f>
        <v>3.272727272727273E-2</v>
      </c>
      <c r="H18">
        <f>$C18*INDEX(Final!I:I,MATCH(Полуфабрикат!$B18,Final!$B:$B,0))/INDEX(Final!$T:$T,MATCH(Полуфабрикат!$B18,Final!$B:$B,0))</f>
        <v>7.2727272727272727E-3</v>
      </c>
      <c r="I18">
        <f>$C18*INDEX(Final!J:J,MATCH(Полуфабрикат!$B18,Final!$B:$B,0))/INDEX(Final!$T:$T,MATCH(Полуфабрикат!$B18,Final!$B:$B,0))</f>
        <v>7.2727272727272727E-3</v>
      </c>
      <c r="J18">
        <f>$C18*INDEX(Final!K:K,MATCH(Полуфабрикат!$B18,Final!$B:$B,0))/INDEX(Final!$T:$T,MATCH(Полуфабрикат!$B18,Final!$B:$B,0))</f>
        <v>3.6363636363636364E-3</v>
      </c>
      <c r="K18">
        <f>$C18*INDEX(Final!M:M,MATCH(Полуфабрикат!$B18,Final!$B:$B,0))/INDEX(Final!$T:$T,MATCH(Полуфабрикат!$B18,Final!$B:$B,0))</f>
        <v>4.7272727272727272E-2</v>
      </c>
      <c r="L18">
        <f>$C18*INDEX(Final!N:N,MATCH(Полуфабрикат!$B18,Final!$B:$B,0))/INDEX(Final!$T:$T,MATCH(Полуфабрикат!$B18,Final!$B:$B,0))</f>
        <v>6.1818181818181821E-2</v>
      </c>
      <c r="M18">
        <f>$C18*INDEX(Final!O:O,MATCH(Полуфабрикат!$B18,Final!$B:$B,0))/INDEX(Final!$T:$T,MATCH(Полуфабрикат!$B18,Final!$B:$B,0))</f>
        <v>2.9090909090909091E-2</v>
      </c>
      <c r="N18">
        <f>$C18*INDEX(Final!P:P,MATCH(Полуфабрикат!$B18,Final!$B:$B,0))/INDEX(Final!$T:$T,MATCH(Полуфабрикат!$B18,Final!$B:$B,0))</f>
        <v>7.2727272727272727E-3</v>
      </c>
      <c r="O18">
        <f>$C18*INDEX(Final!Q:Q,MATCH(Полуфабрикат!$B18,Final!$B:$B,0))/INDEX(Final!$T:$T,MATCH(Полуфабрикат!$B18,Final!$B:$B,0))</f>
        <v>3.6363636363636364E-3</v>
      </c>
      <c r="P18">
        <f>$C18*INDEX(Final!R:R,MATCH(Полуфабрикат!$B18,Final!$B:$B,0))/INDEX(Final!$T:$T,MATCH(Полуфабрикат!$B18,Final!$B:$B,0))</f>
        <v>7.2727272727272727E-3</v>
      </c>
      <c r="Q18" t="b">
        <f t="shared" si="2"/>
        <v>0</v>
      </c>
      <c r="R18">
        <f>INDEX(Final!$BJ:$BJ,MATCH(Полуфабрикат!$B18,Final!$B:$B,0))/INDEX(Final!$AX:$AX,MATCH(Полуфабрикат!$B18,Final!$B:$B,0))</f>
        <v>9.4717202580414939E-2</v>
      </c>
      <c r="S18">
        <f>INDEX(Final!$BE:$BE,MATCH(Полуфабрикат!$B18,Final!$B:$B,0))/INDEX(Final!$AX:$AX,MATCH(Полуфабрикат!$B18,Final!$B:$B,0))</f>
        <v>0.20366766842671633</v>
      </c>
      <c r="T18">
        <f>INDEX(Final!$AY:$AY,MATCH(Полуфабрикат!$B18,Final!$B:$B,0))/INDEX(Final!$AX:$AX,MATCH(Полуфабрикат!$B18,Final!$B:$B,0))</f>
        <v>0.64368821472977567</v>
      </c>
      <c r="U18">
        <f>INDEX(Final!$BL:$BL,MATCH(Полуфабрикат!$B18,Final!$B:$B,0))/INDEX(Final!$AX:$AX,MATCH(Полуфабрикат!$B18,Final!$B:$B,0))</f>
        <v>5.7927611220455977E-2</v>
      </c>
      <c r="V18" t="b">
        <f t="shared" si="3"/>
        <v>1</v>
      </c>
      <c r="W18">
        <f t="shared" si="4"/>
        <v>9.4717136566609211E-2</v>
      </c>
      <c r="X18">
        <f t="shared" si="5"/>
        <v>0.20366752647913416</v>
      </c>
      <c r="Y18">
        <f t="shared" si="6"/>
        <v>0.64368776610684764</v>
      </c>
      <c r="Z18">
        <f t="shared" si="7"/>
        <v>5.792757084740896E-2</v>
      </c>
    </row>
    <row r="19" spans="1:26" x14ac:dyDescent="0.25">
      <c r="A19" t="s">
        <v>260</v>
      </c>
      <c r="B19" t="s">
        <v>16</v>
      </c>
      <c r="C19">
        <f>INDEX(Final!$E:$E, MATCH(Полуфабрикат!$B19,Final!$B:$B,0))</f>
        <v>2.57</v>
      </c>
      <c r="D19" t="b">
        <f t="shared" si="1"/>
        <v>1</v>
      </c>
      <c r="E19">
        <f>$C19*INDEX(Final!F:F,MATCH(Полуфабрикат!$B19,Final!$B:$B,0))/INDEX(Final!$T:$T,MATCH(Полуфабрикат!$B19,Final!$B:$B,0))</f>
        <v>3.4075841951736939E-4</v>
      </c>
      <c r="F19">
        <f>$C19*INDEX(Final!G:G,MATCH(Полуфабрикат!$B19,Final!$B:$B,0))/INDEX(Final!$T:$T,MATCH(Полуфабрикат!$B19,Final!$B:$B,0))</f>
        <v>2.2149297268629011E-3</v>
      </c>
      <c r="G19">
        <f>$C19*INDEX(Final!H:H,MATCH(Полуфабрикат!$B19,Final!$B:$B,0))/INDEX(Final!$T:$T,MATCH(Полуфабрикат!$B19,Final!$B:$B,0))</f>
        <v>9.8819941660037106E-3</v>
      </c>
      <c r="H19">
        <f>$C19*INDEX(Final!I:I,MATCH(Полуфабрикат!$B19,Final!$B:$B,0))/INDEX(Final!$T:$T,MATCH(Полуфабрикат!$B19,Final!$B:$B,0))</f>
        <v>2.6579156722354814E-2</v>
      </c>
      <c r="I19">
        <f>$C19*INDEX(Final!J:J,MATCH(Полуфабрикат!$B19,Final!$B:$B,0))/INDEX(Final!$T:$T,MATCH(Полуфабрикат!$B19,Final!$B:$B,0))</f>
        <v>0.1058054892601432</v>
      </c>
      <c r="J19">
        <f>$C19*INDEX(Final!K:K,MATCH(Полуфабрикат!$B19,Final!$B:$B,0))/INDEX(Final!$T:$T,MATCH(Полуфабрикат!$B19,Final!$B:$B,0))</f>
        <v>0.68049456377618656</v>
      </c>
      <c r="K19">
        <f>$C19*INDEX(Final!M:M,MATCH(Полуфабрикат!$B19,Final!$B:$B,0))/INDEX(Final!$T:$T,MATCH(Полуфабрикат!$B19,Final!$B:$B,0))</f>
        <v>0</v>
      </c>
      <c r="L19">
        <f>$C19*INDEX(Final!N:N,MATCH(Полуфабрикат!$B19,Final!$B:$B,0))/INDEX(Final!$T:$T,MATCH(Полуфабрикат!$B19,Final!$B:$B,0))</f>
        <v>1.8741713073455316E-3</v>
      </c>
      <c r="M19">
        <f>$C19*INDEX(Final!O:O,MATCH(Полуфабрикат!$B19,Final!$B:$B,0))/INDEX(Final!$T:$T,MATCH(Полуфабрикат!$B19,Final!$B:$B,0))</f>
        <v>7.8374436488994961E-3</v>
      </c>
      <c r="N19">
        <f>$C19*INDEX(Final!P:P,MATCH(Полуфабрикат!$B19,Final!$B:$B,0))/INDEX(Final!$T:$T,MATCH(Полуфабрикат!$B19,Final!$B:$B,0))</f>
        <v>2.3001193317422435E-2</v>
      </c>
      <c r="O19">
        <f>$C19*INDEX(Final!Q:Q,MATCH(Полуфабрикат!$B19,Final!$B:$B,0))/INDEX(Final!$T:$T,MATCH(Полуфабрикат!$B19,Final!$B:$B,0))</f>
        <v>0.1124502784407319</v>
      </c>
      <c r="P19">
        <f>$C19*INDEX(Final!R:R,MATCH(Полуфабрикат!$B19,Final!$B:$B,0))/INDEX(Final!$T:$T,MATCH(Полуфабрикат!$B19,Final!$B:$B,0))</f>
        <v>1.599520021214532</v>
      </c>
      <c r="Q19" t="b">
        <f t="shared" si="2"/>
        <v>1</v>
      </c>
      <c r="R19">
        <f>INDEX(Final!$BJ:$BJ,MATCH(Полуфабрикат!$B19,Final!$B:$B,0))/INDEX(Final!$AX:$AX,MATCH(Полуфабрикат!$B19,Final!$B:$B,0))</f>
        <v>0.37621874062117244</v>
      </c>
      <c r="S19">
        <f>INDEX(Final!$BE:$BE,MATCH(Полуфабрикат!$B19,Final!$B:$B,0))/INDEX(Final!$AX:$AX,MATCH(Полуфабрикат!$B19,Final!$B:$B,0))</f>
        <v>0.42547228733888698</v>
      </c>
      <c r="T19">
        <f>INDEX(Final!$AY:$AY,MATCH(Полуфабрикат!$B19,Final!$B:$B,0))/INDEX(Final!$AX:$AX,MATCH(Полуфабрикат!$B19,Final!$B:$B,0))</f>
        <v>0.11101692853029209</v>
      </c>
      <c r="U19">
        <f>INDEX(Final!$BL:$BL,MATCH(Полуфабрикат!$B19,Final!$B:$B,0))/INDEX(Final!$AX:$AX,MATCH(Полуфабрикат!$B19,Final!$B:$B,0))</f>
        <v>8.7292043509648531E-2</v>
      </c>
      <c r="V19" t="b">
        <f t="shared" si="3"/>
        <v>1</v>
      </c>
      <c r="W19">
        <f t="shared" si="4"/>
        <v>0.37621874062117244</v>
      </c>
      <c r="X19">
        <f t="shared" si="5"/>
        <v>0.42547228733888698</v>
      </c>
      <c r="Y19">
        <f t="shared" si="6"/>
        <v>0.11101692853029209</v>
      </c>
      <c r="Z19">
        <f t="shared" si="7"/>
        <v>8.7292043509648531E-2</v>
      </c>
    </row>
    <row r="20" spans="1:26" x14ac:dyDescent="0.25">
      <c r="A20" t="s">
        <v>261</v>
      </c>
      <c r="B20" t="s">
        <v>7</v>
      </c>
      <c r="C20">
        <f>INDEX(Final!$E:$E, MATCH(Полуфабрикат!$B20,Final!$B:$B,0))</f>
        <v>1.59</v>
      </c>
      <c r="D20" t="b">
        <f t="shared" si="1"/>
        <v>1</v>
      </c>
      <c r="E20">
        <f>$C20*INDEX(Final!F:F,MATCH(Полуфабрикат!$B20,Final!$B:$B,0))/INDEX(Final!$T:$T,MATCH(Полуфабрикат!$B20,Final!$B:$B,0))</f>
        <v>9.286177806619078E-4</v>
      </c>
      <c r="F20">
        <f>$C20*INDEX(Final!G:G,MATCH(Полуфабрикат!$B20,Final!$B:$B,0))/INDEX(Final!$T:$T,MATCH(Полуфабрикат!$B20,Final!$B:$B,0))</f>
        <v>0.15136469824789098</v>
      </c>
      <c r="G20">
        <f>$C20*INDEX(Final!H:H,MATCH(Полуфабрикат!$B20,Final!$B:$B,0))/INDEX(Final!$T:$T,MATCH(Полуфабрикат!$B20,Final!$B:$B,0))</f>
        <v>0.43562491888384164</v>
      </c>
      <c r="H20">
        <f>$C20*INDEX(Final!I:I,MATCH(Полуфабрикат!$B20,Final!$B:$B,0))/INDEX(Final!$T:$T,MATCH(Полуфабрикат!$B20,Final!$B:$B,0))</f>
        <v>0.23318624269954574</v>
      </c>
      <c r="I20">
        <f>$C20*INDEX(Final!J:J,MATCH(Полуфабрикат!$B20,Final!$B:$B,0))/INDEX(Final!$T:$T,MATCH(Полуфабрикат!$B20,Final!$B:$B,0))</f>
        <v>0.13217326411421154</v>
      </c>
      <c r="J20">
        <f>$C20*INDEX(Final!K:K,MATCH(Полуфабрикат!$B20,Final!$B:$B,0))/INDEX(Final!$T:$T,MATCH(Полуфабрикат!$B20,Final!$B:$B,0))</f>
        <v>4.7153147306943546E-2</v>
      </c>
      <c r="K20">
        <f>$C20*INDEX(Final!M:M,MATCH(Полуфабрикат!$B20,Final!$B:$B,0))/INDEX(Final!$T:$T,MATCH(Полуфабрикат!$B20,Final!$B:$B,0))</f>
        <v>6.190785204412719E-4</v>
      </c>
      <c r="L20">
        <f>$C20*INDEX(Final!N:N,MATCH(Полуфабрикат!$B20,Final!$B:$B,0))/INDEX(Final!$T:$T,MATCH(Полуфабрикат!$B20,Final!$B:$B,0))</f>
        <v>8.5639195327709278E-2</v>
      </c>
      <c r="M20">
        <f>$C20*INDEX(Final!O:O,MATCH(Полуфабрикат!$B20,Final!$B:$B,0))/INDEX(Final!$T:$T,MATCH(Полуфабрикат!$B20,Final!$B:$B,0))</f>
        <v>0.24494873458792993</v>
      </c>
      <c r="N20">
        <f>$C20*INDEX(Final!P:P,MATCH(Полуфабрикат!$B20,Final!$B:$B,0))/INDEX(Final!$T:$T,MATCH(Полуфабрикат!$B20,Final!$B:$B,0))</f>
        <v>0.14424529526281635</v>
      </c>
      <c r="O20">
        <f>$C20*INDEX(Final!Q:Q,MATCH(Полуфабрикат!$B20,Final!$B:$B,0))/INDEX(Final!$T:$T,MATCH(Полуфабрикат!$B20,Final!$B:$B,0))</f>
        <v>8.1202465931213497E-2</v>
      </c>
      <c r="P20">
        <f>$C20*INDEX(Final!R:R,MATCH(Полуфабрикат!$B20,Final!$B:$B,0))/INDEX(Final!$T:$T,MATCH(Полуфабрикат!$B20,Final!$B:$B,0))</f>
        <v>3.2914341336794287E-2</v>
      </c>
      <c r="Q20" t="b">
        <f t="shared" si="2"/>
        <v>1</v>
      </c>
      <c r="R20">
        <f>INDEX(Final!$BJ:$BJ,MATCH(Полуфабрикат!$B20,Final!$B:$B,0))/INDEX(Final!$AX:$AX,MATCH(Полуфабрикат!$B20,Final!$B:$B,0))</f>
        <v>0.88749981169310499</v>
      </c>
      <c r="S20">
        <f>INDEX(Final!$BE:$BE,MATCH(Полуфабрикат!$B20,Final!$B:$B,0))/INDEX(Final!$AX:$AX,MATCH(Полуфабрикат!$B20,Final!$B:$B,0))</f>
        <v>1.1008421084346425E-2</v>
      </c>
      <c r="T20">
        <f>INDEX(Final!$AY:$AY,MATCH(Полуфабрикат!$B20,Final!$B:$B,0))/INDEX(Final!$AX:$AX,MATCH(Полуфабрикат!$B20,Final!$B:$B,0))</f>
        <v>7.2188075905254015E-2</v>
      </c>
      <c r="U20">
        <f>INDEX(Final!$BL:$BL,MATCH(Полуфабрикат!$B20,Final!$B:$B,0))/INDEX(Final!$AX:$AX,MATCH(Полуфабрикат!$B20,Final!$B:$B,0))</f>
        <v>2.9303691317294607E-2</v>
      </c>
      <c r="V20" t="b">
        <f t="shared" si="3"/>
        <v>1</v>
      </c>
      <c r="W20">
        <f t="shared" si="4"/>
        <v>0.88749981169310499</v>
      </c>
      <c r="X20">
        <f t="shared" si="5"/>
        <v>1.1008421084346425E-2</v>
      </c>
      <c r="Y20">
        <f t="shared" si="6"/>
        <v>7.2188075905254015E-2</v>
      </c>
      <c r="Z20">
        <f t="shared" si="7"/>
        <v>2.9303691317294607E-2</v>
      </c>
    </row>
    <row r="21" spans="1:26" x14ac:dyDescent="0.25">
      <c r="A21" t="s">
        <v>262</v>
      </c>
      <c r="B21" t="s">
        <v>46</v>
      </c>
      <c r="C21">
        <f>INDEX(Final!$E:$E, MATCH(Полуфабрикат!$B21,Final!$B:$B,0))</f>
        <v>4.76</v>
      </c>
      <c r="D21" t="b">
        <f t="shared" si="1"/>
        <v>1</v>
      </c>
      <c r="E21">
        <f>$C21*INDEX(Final!F:F,MATCH(Полуфабрикат!$B21,Final!$B:$B,0))/INDEX(Final!$T:$T,MATCH(Полуфабрикат!$B21,Final!$B:$B,0))</f>
        <v>1.1090870578267317E-2</v>
      </c>
      <c r="F21">
        <f>$C21*INDEX(Final!G:G,MATCH(Полуфабрикат!$B21,Final!$B:$B,0))/INDEX(Final!$T:$T,MATCH(Полуфабрикат!$B21,Final!$B:$B,0))</f>
        <v>0.58983266257148914</v>
      </c>
      <c r="G21">
        <f>$C21*INDEX(Final!H:H,MATCH(Полуфабрикат!$B21,Final!$B:$B,0))/INDEX(Final!$T:$T,MATCH(Полуфабрикат!$B21,Final!$B:$B,0))</f>
        <v>1.2058801101461554</v>
      </c>
      <c r="H21">
        <f>$C21*INDEX(Final!I:I,MATCH(Полуфабрикат!$B21,Final!$B:$B,0))/INDEX(Final!$T:$T,MATCH(Полуфабрикат!$B21,Final!$B:$B,0))</f>
        <v>0.45674221563228129</v>
      </c>
      <c r="I21">
        <f>$C21*INDEX(Final!J:J,MATCH(Полуфабрикат!$B21,Final!$B:$B,0))/INDEX(Final!$T:$T,MATCH(Полуфабрикат!$B21,Final!$B:$B,0))</f>
        <v>0.25811480618513027</v>
      </c>
      <c r="J21">
        <f>$C21*INDEX(Final!K:K,MATCH(Полуфабрикат!$B21,Final!$B:$B,0))/INDEX(Final!$T:$T,MATCH(Полуфабрикат!$B21,Final!$B:$B,0))</f>
        <v>0.12905740309256514</v>
      </c>
      <c r="K21">
        <f>$C21*INDEX(Final!M:M,MATCH(Полуфабрикат!$B21,Final!$B:$B,0))/INDEX(Final!$T:$T,MATCH(Полуфабрикат!$B21,Final!$B:$B,0))</f>
        <v>5.0413048083033252E-3</v>
      </c>
      <c r="L21">
        <f>$C21*INDEX(Final!N:N,MATCH(Полуфабрикат!$B21,Final!$B:$B,0))/INDEX(Final!$T:$T,MATCH(Полуфабрикат!$B21,Final!$B:$B,0))</f>
        <v>0.25609828426180892</v>
      </c>
      <c r="M21">
        <f>$C21*INDEX(Final!O:O,MATCH(Полуфабрикат!$B21,Final!$B:$B,0))/INDEX(Final!$T:$T,MATCH(Полуфабрикат!$B21,Final!$B:$B,0))</f>
        <v>0.70779919508578693</v>
      </c>
      <c r="N21">
        <f>$C21*INDEX(Final!P:P,MATCH(Полуфабрикат!$B21,Final!$B:$B,0))/INDEX(Final!$T:$T,MATCH(Полуфабрикат!$B21,Final!$B:$B,0))</f>
        <v>0.44061004024571065</v>
      </c>
      <c r="O21">
        <f>$C21*INDEX(Final!Q:Q,MATCH(Полуфабрикат!$B21,Final!$B:$B,0))/INDEX(Final!$T:$T,MATCH(Полуфабрикат!$B21,Final!$B:$B,0))</f>
        <v>0.35389959754289346</v>
      </c>
      <c r="P21">
        <f>$C21*INDEX(Final!R:R,MATCH(Полуфабрикат!$B21,Final!$B:$B,0))/INDEX(Final!$T:$T,MATCH(Полуфабрикат!$B21,Final!$B:$B,0))</f>
        <v>0.34583350984960815</v>
      </c>
      <c r="Q21" t="b">
        <f t="shared" si="2"/>
        <v>1</v>
      </c>
      <c r="R21">
        <f>INDEX(Final!$BJ:$BJ,MATCH(Полуфабрикат!$B21,Final!$B:$B,0))/INDEX(Final!$AX:$AX,MATCH(Полуфабрикат!$B21,Final!$B:$B,0))</f>
        <v>0.76999224670911848</v>
      </c>
      <c r="S21">
        <f>INDEX(Final!$BE:$BE,MATCH(Полуфабрикат!$B21,Final!$B:$B,0))/INDEX(Final!$AX:$AX,MATCH(Полуфабрикат!$B21,Final!$B:$B,0))</f>
        <v>7.1168553642147858E-2</v>
      </c>
      <c r="T21">
        <f>INDEX(Final!$AY:$AY,MATCH(Полуфабрикат!$B21,Final!$B:$B,0))/INDEX(Final!$AX:$AX,MATCH(Полуфабрикат!$B21,Final!$B:$B,0))</f>
        <v>9.8684415458619737E-2</v>
      </c>
      <c r="U21">
        <f>INDEX(Final!$BL:$BL,MATCH(Полуфабрикат!$B21,Final!$B:$B,0))/INDEX(Final!$AX:$AX,MATCH(Полуфабрикат!$B21,Final!$B:$B,0))</f>
        <v>6.0154784190113934E-2</v>
      </c>
      <c r="V21" t="b">
        <f t="shared" si="3"/>
        <v>1</v>
      </c>
      <c r="W21">
        <f t="shared" si="4"/>
        <v>0.76999224670911859</v>
      </c>
      <c r="X21">
        <f t="shared" si="5"/>
        <v>7.1168553642147872E-2</v>
      </c>
      <c r="Y21">
        <f t="shared" si="6"/>
        <v>9.8684415458619751E-2</v>
      </c>
      <c r="Z21">
        <f t="shared" si="7"/>
        <v>6.0154784190113941E-2</v>
      </c>
    </row>
    <row r="22" spans="1:26" x14ac:dyDescent="0.25">
      <c r="A22" t="s">
        <v>263</v>
      </c>
      <c r="B22" t="s">
        <v>35</v>
      </c>
      <c r="C22">
        <f>INDEX(Final!$E:$E, MATCH(Полуфабрикат!$B22,Final!$B:$B,0))</f>
        <v>6.21</v>
      </c>
      <c r="D22" t="b">
        <f t="shared" si="1"/>
        <v>1</v>
      </c>
      <c r="E22">
        <f>$C22*INDEX(Final!F:F,MATCH(Полуфабрикат!$B22,Final!$B:$B,0))/INDEX(Final!$T:$T,MATCH(Полуфабрикат!$B22,Final!$B:$B,0))</f>
        <v>3.0892427884615384E-2</v>
      </c>
      <c r="F22">
        <f>$C22*INDEX(Final!G:G,MATCH(Полуфабрикат!$B22,Final!$B:$B,0))/INDEX(Final!$T:$T,MATCH(Полуфабрикат!$B22,Final!$B:$B,0))</f>
        <v>0.29461838942307694</v>
      </c>
      <c r="G22">
        <f>$C22*INDEX(Final!H:H,MATCH(Полуфабрикат!$B22,Final!$B:$B,0))/INDEX(Final!$T:$T,MATCH(Полуфабрикат!$B22,Final!$B:$B,0))</f>
        <v>0.72006310096153847</v>
      </c>
      <c r="H22">
        <f>$C22*INDEX(Final!I:I,MATCH(Полуфабрикат!$B22,Final!$B:$B,0))/INDEX(Final!$T:$T,MATCH(Полуфабрикат!$B22,Final!$B:$B,0))</f>
        <v>0.44431189903846152</v>
      </c>
      <c r="I22">
        <f>$C22*INDEX(Final!J:J,MATCH(Полуфабрикат!$B22,Final!$B:$B,0))/INDEX(Final!$T:$T,MATCH(Полуфабрикат!$B22,Final!$B:$B,0))</f>
        <v>0.29814302884615385</v>
      </c>
      <c r="J22">
        <f>$C22*INDEX(Final!K:K,MATCH(Полуфабрикат!$B22,Final!$B:$B,0))/INDEX(Final!$T:$T,MATCH(Полуфабрикат!$B22,Final!$B:$B,0))</f>
        <v>0.30850961538461541</v>
      </c>
      <c r="K22">
        <f>$C22*INDEX(Final!M:M,MATCH(Полуфабрикат!$B22,Final!$B:$B,0))/INDEX(Final!$T:$T,MATCH(Полуфабрикат!$B22,Final!$B:$B,0))</f>
        <v>3.0270432692307694E-2</v>
      </c>
      <c r="L22">
        <f>$C22*INDEX(Final!N:N,MATCH(Полуфабрикат!$B22,Final!$B:$B,0))/INDEX(Final!$T:$T,MATCH(Полуфабрикат!$B22,Final!$B:$B,0))</f>
        <v>0.44078725961538462</v>
      </c>
      <c r="M22">
        <f>$C22*INDEX(Final!O:O,MATCH(Полуфабрикат!$B22,Final!$B:$B,0))/INDEX(Final!$T:$T,MATCH(Полуфабрикат!$B22,Final!$B:$B,0))</f>
        <v>1.0942968749999999</v>
      </c>
      <c r="N22">
        <f>$C22*INDEX(Final!P:P,MATCH(Полуфабрикат!$B22,Final!$B:$B,0))/INDEX(Final!$T:$T,MATCH(Полуфабрикат!$B22,Final!$B:$B,0))</f>
        <v>0.81315504807692307</v>
      </c>
      <c r="O22">
        <f>$C22*INDEX(Final!Q:Q,MATCH(Полуфабрикат!$B22,Final!$B:$B,0))/INDEX(Final!$T:$T,MATCH(Полуфабрикат!$B22,Final!$B:$B,0))</f>
        <v>0.66055889423076919</v>
      </c>
      <c r="P22">
        <f>$C22*INDEX(Final!R:R,MATCH(Полуфабрикат!$B22,Final!$B:$B,0))/INDEX(Final!$T:$T,MATCH(Полуфабрикат!$B22,Final!$B:$B,0))</f>
        <v>1.0743930288461538</v>
      </c>
      <c r="Q22" t="b">
        <f t="shared" si="2"/>
        <v>0</v>
      </c>
      <c r="R22">
        <f>INDEX(Final!$BJ:$BJ,MATCH(Полуфабрикат!$B22,Final!$B:$B,0))/INDEX(Final!$AX:$AX,MATCH(Полуфабрикат!$B22,Final!$B:$B,0))</f>
        <v>0.49386840583445552</v>
      </c>
      <c r="S22">
        <f>INDEX(Final!$BE:$BE,MATCH(Полуфабрикат!$B22,Final!$B:$B,0))/INDEX(Final!$AX:$AX,MATCH(Полуфабрикат!$B22,Final!$B:$B,0))</f>
        <v>6.2014947468530465E-2</v>
      </c>
      <c r="T22">
        <f>INDEX(Final!$AY:$AY,MATCH(Полуфабрикат!$B22,Final!$B:$B,0))/INDEX(Final!$AX:$AX,MATCH(Полуфабрикат!$B22,Final!$B:$B,0))</f>
        <v>0.16056204308714245</v>
      </c>
      <c r="U22">
        <f>INDEX(Final!$BL:$BL,MATCH(Полуфабрикат!$B22,Final!$B:$B,0))/INDEX(Final!$AX:$AX,MATCH(Полуфабрикат!$B22,Final!$B:$B,0))</f>
        <v>0.28355444048132711</v>
      </c>
      <c r="V22" t="b">
        <f t="shared" si="3"/>
        <v>1</v>
      </c>
      <c r="W22">
        <f t="shared" si="4"/>
        <v>0.49386848639850284</v>
      </c>
      <c r="X22">
        <f t="shared" si="5"/>
        <v>6.2014957584940231E-2</v>
      </c>
      <c r="Y22">
        <f t="shared" si="6"/>
        <v>0.16056206927939912</v>
      </c>
      <c r="Z22">
        <f t="shared" si="7"/>
        <v>0.28355448673715783</v>
      </c>
    </row>
    <row r="23" spans="1:26" x14ac:dyDescent="0.25">
      <c r="A23" t="s">
        <v>264</v>
      </c>
      <c r="B23" t="s">
        <v>9</v>
      </c>
      <c r="C23">
        <f>INDEX(Final!$E:$E, MATCH(Полуфабрикат!$B23,Final!$B:$B,0))</f>
        <v>2.88</v>
      </c>
      <c r="D23" t="b">
        <f t="shared" si="1"/>
        <v>1</v>
      </c>
      <c r="E23">
        <f>$C23*INDEX(Final!F:F,MATCH(Полуфабрикат!$B23,Final!$B:$B,0))/INDEX(Final!$T:$T,MATCH(Полуфабрикат!$B23,Final!$B:$B,0))</f>
        <v>5.9929430923731115E-3</v>
      </c>
      <c r="F23">
        <f>$C23*INDEX(Final!G:G,MATCH(Полуфабрикат!$B23,Final!$B:$B,0))/INDEX(Final!$T:$T,MATCH(Полуфабрикат!$B23,Final!$B:$B,0))</f>
        <v>8.3159601639652303E-2</v>
      </c>
      <c r="G23">
        <f>$C23*INDEX(Final!H:H,MATCH(Полуфабрикат!$B23,Final!$B:$B,0))/INDEX(Final!$T:$T,MATCH(Полуфабрикат!$B23,Final!$B:$B,0))</f>
        <v>0.28647871444578221</v>
      </c>
      <c r="H23">
        <f>$C23*INDEX(Final!I:I,MATCH(Полуфабрикат!$B23,Final!$B:$B,0))/INDEX(Final!$T:$T,MATCH(Полуфабрикат!$B23,Final!$B:$B,0))</f>
        <v>0.1977069921845096</v>
      </c>
      <c r="I23">
        <f>$C23*INDEX(Final!J:J,MATCH(Полуфабрикат!$B23,Final!$B:$B,0))/INDEX(Final!$T:$T,MATCH(Полуфабрикат!$B23,Final!$B:$B,0))</f>
        <v>0.17994863907466821</v>
      </c>
      <c r="J23">
        <f>$C23*INDEX(Final!K:K,MATCH(Полуфабрикат!$B23,Final!$B:$B,0))/INDEX(Final!$T:$T,MATCH(Полуфабрикат!$B23,Final!$B:$B,0))</f>
        <v>0.2153250422788105</v>
      </c>
      <c r="K23">
        <f>$C23*INDEX(Final!M:M,MATCH(Полуфабрикат!$B23,Final!$B:$B,0))/INDEX(Final!$T:$T,MATCH(Полуфабрикат!$B23,Final!$B:$B,0))</f>
        <v>2.8862334625475855E-3</v>
      </c>
      <c r="L23">
        <f>$C23*INDEX(Final!N:N,MATCH(Полуфабрикат!$B23,Final!$B:$B,0))/INDEX(Final!$T:$T,MATCH(Полуфабрикат!$B23,Final!$B:$B,0))</f>
        <v>0.12843738908336755</v>
      </c>
      <c r="M23">
        <f>$C23*INDEX(Final!O:O,MATCH(Полуфабрикат!$B23,Final!$B:$B,0))/INDEX(Final!$T:$T,MATCH(Полуфабрикат!$B23,Final!$B:$B,0))</f>
        <v>0.4994586920362728</v>
      </c>
      <c r="N23">
        <f>$C23*INDEX(Final!P:P,MATCH(Полуфабрикат!$B23,Final!$B:$B,0))/INDEX(Final!$T:$T,MATCH(Полуфабрикат!$B23,Final!$B:$B,0))</f>
        <v>0.36665186618321516</v>
      </c>
      <c r="O23">
        <f>$C23*INDEX(Final!Q:Q,MATCH(Полуфабрикат!$B23,Final!$B:$B,0))/INDEX(Final!$T:$T,MATCH(Полуфабрикат!$B23,Final!$B:$B,0))</f>
        <v>0.35739186715754162</v>
      </c>
      <c r="P23">
        <f>$C23*INDEX(Final!R:R,MATCH(Полуфабрикат!$B23,Final!$B:$B,0))/INDEX(Final!$T:$T,MATCH(Полуфабрикат!$B23,Final!$B:$B,0))</f>
        <v>0.55650188949745627</v>
      </c>
      <c r="Q23" t="b">
        <f t="shared" si="2"/>
        <v>1</v>
      </c>
      <c r="R23">
        <f>INDEX(Final!$BJ:$BJ,MATCH(Полуфабрикат!$B23,Final!$B:$B,0))/INDEX(Final!$AX:$AX,MATCH(Полуфабрикат!$B23,Final!$B:$B,0))</f>
        <v>0.15612879151340689</v>
      </c>
      <c r="S23">
        <f>INDEX(Final!$BE:$BE,MATCH(Полуфабрикат!$B23,Final!$B:$B,0))/INDEX(Final!$AX:$AX,MATCH(Полуфабрикат!$B23,Final!$B:$B,0))</f>
        <v>0.51264992803454346</v>
      </c>
      <c r="T23">
        <f>INDEX(Final!$AY:$AY,MATCH(Полуфабрикат!$B23,Final!$B:$B,0))/INDEX(Final!$AX:$AX,MATCH(Полуфабрикат!$B23,Final!$B:$B,0))</f>
        <v>0.13194200117277041</v>
      </c>
      <c r="U23">
        <f>INDEX(Final!$BL:$BL,MATCH(Полуфабрикат!$B23,Final!$B:$B,0))/INDEX(Final!$AX:$AX,MATCH(Полуфабрикат!$B23,Final!$B:$B,0))</f>
        <v>0.19927927927927927</v>
      </c>
      <c r="V23" t="b">
        <f t="shared" si="3"/>
        <v>1</v>
      </c>
      <c r="W23">
        <f t="shared" si="4"/>
        <v>0.15612879151340689</v>
      </c>
      <c r="X23">
        <f t="shared" si="5"/>
        <v>0.51264992803454346</v>
      </c>
      <c r="Y23">
        <f t="shared" si="6"/>
        <v>0.13194200117277041</v>
      </c>
      <c r="Z23">
        <f t="shared" si="7"/>
        <v>0.19927927927927927</v>
      </c>
    </row>
    <row r="24" spans="1:26" x14ac:dyDescent="0.25">
      <c r="A24" t="s">
        <v>265</v>
      </c>
      <c r="B24" t="s">
        <v>11</v>
      </c>
      <c r="C24">
        <f>INDEX(Final!$E:$E, MATCH(Полуфабрикат!$B24,Final!$B:$B,0))</f>
        <v>2.5299999999999998</v>
      </c>
      <c r="D24" t="b">
        <f t="shared" si="1"/>
        <v>1</v>
      </c>
      <c r="E24">
        <f>$C24*INDEX(Final!F:F,MATCH(Полуфабрикат!$B24,Final!$B:$B,0))/INDEX(Final!$T:$T,MATCH(Полуфабрикат!$B24,Final!$B:$B,0))</f>
        <v>3.6164852739289802E-3</v>
      </c>
      <c r="F24">
        <f>$C24*INDEX(Final!G:G,MATCH(Полуфабрикат!$B24,Final!$B:$B,0))/INDEX(Final!$T:$T,MATCH(Полуфабрикат!$B24,Final!$B:$B,0))</f>
        <v>6.115798859277919E-2</v>
      </c>
      <c r="G24">
        <f>$C24*INDEX(Final!H:H,MATCH(Полуфабрикат!$B24,Final!$B:$B,0))/INDEX(Final!$T:$T,MATCH(Полуфабрикат!$B24,Final!$B:$B,0))</f>
        <v>0.2412303098065301</v>
      </c>
      <c r="H24">
        <f>$C24*INDEX(Final!I:I,MATCH(Полуфабрикат!$B24,Final!$B:$B,0))/INDEX(Final!$T:$T,MATCH(Полуфабрикат!$B24,Final!$B:$B,0))</f>
        <v>0.17774488019587584</v>
      </c>
      <c r="I24">
        <f>$C24*INDEX(Final!J:J,MATCH(Полуфабрикат!$B24,Final!$B:$B,0))/INDEX(Final!$T:$T,MATCH(Полуфабрикат!$B24,Final!$B:$B,0))</f>
        <v>0.17917715159149128</v>
      </c>
      <c r="J24">
        <f>$C24*INDEX(Final!K:K,MATCH(Полуфабрикат!$B24,Final!$B:$B,0))/INDEX(Final!$T:$T,MATCH(Полуфабрикат!$B24,Final!$B:$B,0))</f>
        <v>0.20689160309665</v>
      </c>
      <c r="K24">
        <f>$C24*INDEX(Final!M:M,MATCH(Полуфабрикат!$B24,Final!$B:$B,0))/INDEX(Final!$T:$T,MATCH(Полуфабрикат!$B24,Final!$B:$B,0))</f>
        <v>2.64970208188856E-3</v>
      </c>
      <c r="L24">
        <f>$C24*INDEX(Final!N:N,MATCH(Полуфабрикат!$B24,Final!$B:$B,0))/INDEX(Final!$T:$T,MATCH(Полуфабрикат!$B24,Final!$B:$B,0))</f>
        <v>9.3706356058140025E-2</v>
      </c>
      <c r="M24">
        <f>$C24*INDEX(Final!O:O,MATCH(Полуфабрикат!$B24,Final!$B:$B,0))/INDEX(Final!$T:$T,MATCH(Полуфабрикат!$B24,Final!$B:$B,0))</f>
        <v>0.37622188884328517</v>
      </c>
      <c r="N24">
        <f>$C24*INDEX(Final!P:P,MATCH(Полуфабрикат!$B24,Final!$B:$B,0))/INDEX(Final!$T:$T,MATCH(Полуфабрикат!$B24,Final!$B:$B,0))</f>
        <v>0.29844955206136686</v>
      </c>
      <c r="O24">
        <f>$C24*INDEX(Final!Q:Q,MATCH(Полуфабрикат!$B24,Final!$B:$B,0))/INDEX(Final!$T:$T,MATCH(Полуфабрикат!$B24,Final!$B:$B,0))</f>
        <v>0.33923348005151649</v>
      </c>
      <c r="P24">
        <f>$C24*INDEX(Final!R:R,MATCH(Полуфабрикат!$B24,Final!$B:$B,0))/INDEX(Final!$T:$T,MATCH(Полуфабрикат!$B24,Final!$B:$B,0))</f>
        <v>0.54977737520698577</v>
      </c>
      <c r="Q24" t="b">
        <f t="shared" si="2"/>
        <v>0</v>
      </c>
      <c r="R24">
        <f>INDEX(Final!$BJ:$BJ,MATCH(Полуфабрикат!$B24,Final!$B:$B,0))/INDEX(Final!$AX:$AX,MATCH(Полуфабрикат!$B24,Final!$B:$B,0))</f>
        <v>5.1527120712209835E-2</v>
      </c>
      <c r="S24">
        <f>INDEX(Final!$BE:$BE,MATCH(Полуфабрикат!$B24,Final!$B:$B,0))/INDEX(Final!$AX:$AX,MATCH(Полуфабрикат!$B24,Final!$B:$B,0))</f>
        <v>0.24375153691699616</v>
      </c>
      <c r="T24">
        <f>INDEX(Final!$AY:$AY,MATCH(Полуфабрикат!$B24,Final!$B:$B,0))/INDEX(Final!$AX:$AX,MATCH(Полуфабрикат!$B24,Final!$B:$B,0))</f>
        <v>0.4749776029403957</v>
      </c>
      <c r="U24">
        <f>INDEX(Final!$BL:$BL,MATCH(Полуфабрикат!$B24,Final!$B:$B,0))/INDEX(Final!$AX:$AX,MATCH(Полуфабрикат!$B24,Final!$B:$B,0))</f>
        <v>0.22974351729244041</v>
      </c>
      <c r="V24" t="b">
        <f t="shared" si="3"/>
        <v>1</v>
      </c>
      <c r="W24">
        <f t="shared" si="4"/>
        <v>5.1527132158341746E-2</v>
      </c>
      <c r="X24">
        <f t="shared" si="5"/>
        <v>0.24375159106347682</v>
      </c>
      <c r="Y24">
        <f t="shared" si="6"/>
        <v>0.47497770845097387</v>
      </c>
      <c r="Z24">
        <f t="shared" si="7"/>
        <v>0.22974356832720749</v>
      </c>
    </row>
    <row r="25" spans="1:26" x14ac:dyDescent="0.25">
      <c r="A25" t="s">
        <v>266</v>
      </c>
      <c r="B25" t="s">
        <v>32</v>
      </c>
      <c r="C25">
        <f>INDEX(Final!$E:$E, MATCH(Полуфабрикат!$B25,Final!$B:$B,0))</f>
        <v>0.56000000000000005</v>
      </c>
      <c r="D25" t="b">
        <f t="shared" si="1"/>
        <v>1</v>
      </c>
      <c r="E25">
        <f>$C25*INDEX(Final!F:F,MATCH(Полуфабрикат!$B25,Final!$B:$B,0))/INDEX(Final!$T:$T,MATCH(Полуфабрикат!$B25,Final!$B:$B,0))</f>
        <v>5.6000000000000001E-2</v>
      </c>
      <c r="F25">
        <f>$C25*INDEX(Final!G:G,MATCH(Полуфабрикат!$B25,Final!$B:$B,0))/INDEX(Final!$T:$T,MATCH(Полуфабрикат!$B25,Final!$B:$B,0))</f>
        <v>8.531764705882354E-2</v>
      </c>
      <c r="G25">
        <f>$C25*INDEX(Final!H:H,MATCH(Полуфабрикат!$B25,Final!$B:$B,0))/INDEX(Final!$T:$T,MATCH(Полуфабрикат!$B25,Final!$B:$B,0))</f>
        <v>9.1576470588235301E-2</v>
      </c>
      <c r="H25">
        <f>$C25*INDEX(Final!I:I,MATCH(Полуфабрикат!$B25,Final!$B:$B,0))/INDEX(Final!$T:$T,MATCH(Полуфабрикат!$B25,Final!$B:$B,0))</f>
        <v>4.6776470588235301E-2</v>
      </c>
      <c r="I25">
        <f>$C25*INDEX(Final!J:J,MATCH(Полуфабрикат!$B25,Final!$B:$B,0))/INDEX(Final!$T:$T,MATCH(Полуфабрикат!$B25,Final!$B:$B,0))</f>
        <v>2.3058823529411767E-2</v>
      </c>
      <c r="J25">
        <f>$C25*INDEX(Final!K:K,MATCH(Полуфабрикат!$B25,Final!$B:$B,0))/INDEX(Final!$T:$T,MATCH(Полуфабрикат!$B25,Final!$B:$B,0))</f>
        <v>6.2588235294117646E-3</v>
      </c>
      <c r="K25">
        <f>$C25*INDEX(Final!M:M,MATCH(Полуфабрикат!$B25,Final!$B:$B,0))/INDEX(Final!$T:$T,MATCH(Полуфабрикат!$B25,Final!$B:$B,0))</f>
        <v>3.4917647058823532E-2</v>
      </c>
      <c r="L25">
        <f>$C25*INDEX(Final!N:N,MATCH(Полуфабрикат!$B25,Final!$B:$B,0))/INDEX(Final!$T:$T,MATCH(Полуфабрикат!$B25,Final!$B:$B,0))</f>
        <v>6.324705882352942E-2</v>
      </c>
      <c r="M25">
        <f>$C25*INDEX(Final!O:O,MATCH(Полуфабрикат!$B25,Final!$B:$B,0))/INDEX(Final!$T:$T,MATCH(Полуфабрикат!$B25,Final!$B:$B,0))</f>
        <v>7.7082352941176477E-2</v>
      </c>
      <c r="N25">
        <f>$C25*INDEX(Final!P:P,MATCH(Полуфабрикат!$B25,Final!$B:$B,0))/INDEX(Final!$T:$T,MATCH(Полуфабрикат!$B25,Final!$B:$B,0))</f>
        <v>4.2823529411764712E-2</v>
      </c>
      <c r="O25">
        <f>$C25*INDEX(Final!Q:Q,MATCH(Полуфабрикат!$B25,Final!$B:$B,0))/INDEX(Final!$T:$T,MATCH(Полуфабрикат!$B25,Final!$B:$B,0))</f>
        <v>2.3717647058823531E-2</v>
      </c>
      <c r="P25">
        <f>$C25*INDEX(Final!R:R,MATCH(Полуфабрикат!$B25,Final!$B:$B,0))/INDEX(Final!$T:$T,MATCH(Полуфабрикат!$B25,Final!$B:$B,0))</f>
        <v>8.8941176470588249E-3</v>
      </c>
      <c r="Q25" t="b">
        <f t="shared" si="2"/>
        <v>1</v>
      </c>
      <c r="R25">
        <f>INDEX(Final!$BJ:$BJ,MATCH(Полуфабрикат!$B25,Final!$B:$B,0))/INDEX(Final!$AX:$AX,MATCH(Полуфабрикат!$B25,Final!$B:$B,0))</f>
        <v>0.42750170473263072</v>
      </c>
      <c r="S25">
        <f>INDEX(Final!$BE:$BE,MATCH(Полуфабрикат!$B25,Final!$B:$B,0))/INDEX(Final!$AX:$AX,MATCH(Полуфабрикат!$B25,Final!$B:$B,0))</f>
        <v>1.3048099741357835E-2</v>
      </c>
      <c r="T25">
        <f>INDEX(Final!$AY:$AY,MATCH(Полуфабрикат!$B25,Final!$B:$B,0))/INDEX(Final!$AX:$AX,MATCH(Полуфабрикат!$B25,Final!$B:$B,0))</f>
        <v>0.13277578664271555</v>
      </c>
      <c r="U25">
        <f>INDEX(Final!$BL:$BL,MATCH(Полуфабрикат!$B25,Final!$B:$B,0))/INDEX(Final!$AX:$AX,MATCH(Полуфабрикат!$B25,Final!$B:$B,0))</f>
        <v>0.42667440888329589</v>
      </c>
      <c r="V25" t="b">
        <f t="shared" si="3"/>
        <v>1</v>
      </c>
      <c r="W25">
        <f t="shared" si="4"/>
        <v>0.42750170473263072</v>
      </c>
      <c r="X25">
        <f t="shared" si="5"/>
        <v>1.3048099741357835E-2</v>
      </c>
      <c r="Y25">
        <f t="shared" si="6"/>
        <v>0.13277578664271555</v>
      </c>
      <c r="Z25">
        <f t="shared" si="7"/>
        <v>0.42667440888329589</v>
      </c>
    </row>
    <row r="26" spans="1:26" x14ac:dyDescent="0.25">
      <c r="A26" t="s">
        <v>267</v>
      </c>
      <c r="B26" t="s">
        <v>45</v>
      </c>
      <c r="C26">
        <f>INDEX(Final!$E:$E, MATCH(Полуфабрикат!$B26,Final!$B:$B,0))</f>
        <v>1.3</v>
      </c>
      <c r="D26" t="b">
        <f t="shared" si="1"/>
        <v>1</v>
      </c>
      <c r="E26">
        <f>$C26*INDEX(Final!F:F,MATCH(Полуфабрикат!$B26,Final!$B:$B,0))/INDEX(Final!$T:$T,MATCH(Полуфабрикат!$B26,Final!$B:$B,0))</f>
        <v>0.56587462082912032</v>
      </c>
      <c r="F26">
        <f>$C26*INDEX(Final!G:G,MATCH(Полуфабрикат!$B26,Final!$B:$B,0))/INDEX(Final!$T:$T,MATCH(Полуфабрикат!$B26,Final!$B:$B,0))</f>
        <v>0.27472194135490396</v>
      </c>
      <c r="G26">
        <f>$C26*INDEX(Final!H:H,MATCH(Полуфабрикат!$B26,Final!$B:$B,0))/INDEX(Final!$T:$T,MATCH(Полуфабрикат!$B26,Final!$B:$B,0))</f>
        <v>5.3235591506572297E-2</v>
      </c>
      <c r="H26">
        <f>$C26*INDEX(Final!I:I,MATCH(Полуфабрикат!$B26,Final!$B:$B,0))/INDEX(Final!$T:$T,MATCH(Полуфабрикат!$B26,Final!$B:$B,0))</f>
        <v>1.3801820020222446E-2</v>
      </c>
      <c r="I26">
        <f>$C26*INDEX(Final!J:J,MATCH(Полуфабрикат!$B26,Final!$B:$B,0))/INDEX(Final!$T:$T,MATCH(Полуфабрикат!$B26,Final!$B:$B,0))</f>
        <v>5.2578361981799795E-3</v>
      </c>
      <c r="J26">
        <f>$C26*INDEX(Final!K:K,MATCH(Полуфабрикат!$B26,Final!$B:$B,0))/INDEX(Final!$T:$T,MATCH(Полуфабрикат!$B26,Final!$B:$B,0))</f>
        <v>3.2861476238624874E-3</v>
      </c>
      <c r="K26">
        <f>$C26*INDEX(Final!M:M,MATCH(Полуфабрикат!$B26,Final!$B:$B,0))/INDEX(Final!$T:$T,MATCH(Полуфабрикат!$B26,Final!$B:$B,0))</f>
        <v>0.19322548028311426</v>
      </c>
      <c r="L26">
        <f>$C26*INDEX(Final!N:N,MATCH(Полуфабрикат!$B26,Final!$B:$B,0))/INDEX(Final!$T:$T,MATCH(Полуфабрикат!$B26,Final!$B:$B,0))</f>
        <v>0.13473205257836199</v>
      </c>
      <c r="M26">
        <f>$C26*INDEX(Final!O:O,MATCH(Полуфабрикат!$B26,Final!$B:$B,0))/INDEX(Final!$T:$T,MATCH(Полуфабрикат!$B26,Final!$B:$B,0))</f>
        <v>3.4175935288169867E-2</v>
      </c>
      <c r="N26">
        <f>$C26*INDEX(Final!P:P,MATCH(Полуфабрикат!$B26,Final!$B:$B,0))/INDEX(Final!$T:$T,MATCH(Полуфабрикат!$B26,Final!$B:$B,0))</f>
        <v>1.1172901921132457E-2</v>
      </c>
      <c r="O26">
        <f>$C26*INDEX(Final!Q:Q,MATCH(Полуфабрикат!$B26,Final!$B:$B,0))/INDEX(Final!$T:$T,MATCH(Полуфабрикат!$B26,Final!$B:$B,0))</f>
        <v>5.2578361981799795E-3</v>
      </c>
      <c r="P26">
        <f>$C26*INDEX(Final!R:R,MATCH(Полуфабрикат!$B26,Final!$B:$B,0))/INDEX(Final!$T:$T,MATCH(Полуфабрикат!$B26,Final!$B:$B,0))</f>
        <v>4.6006066734074827E-3</v>
      </c>
      <c r="Q26" t="b">
        <f t="shared" si="2"/>
        <v>1</v>
      </c>
      <c r="R26">
        <f>INDEX(Final!$BJ:$BJ,MATCH(Полуфабрикат!$B26,Final!$B:$B,0))/INDEX(Final!$AX:$AX,MATCH(Полуфабрикат!$B26,Final!$B:$B,0))</f>
        <v>0.80853183868120349</v>
      </c>
      <c r="S26">
        <f>INDEX(Final!$BE:$BE,MATCH(Полуфабрикат!$B26,Final!$B:$B,0))/INDEX(Final!$AX:$AX,MATCH(Полуфабрикат!$B26,Final!$B:$B,0))</f>
        <v>1.5852310213623589E-2</v>
      </c>
      <c r="T26">
        <f>INDEX(Final!$AY:$AY,MATCH(Полуфабрикат!$B26,Final!$B:$B,0))/INDEX(Final!$AX:$AX,MATCH(Полуфабрикат!$B26,Final!$B:$B,0))</f>
        <v>0.17329690093661787</v>
      </c>
      <c r="U26">
        <f>INDEX(Final!$BL:$BL,MATCH(Полуфабрикат!$B26,Final!$B:$B,0))/INDEX(Final!$AX:$AX,MATCH(Полуфабрикат!$B26,Final!$B:$B,0))</f>
        <v>2.3189501685550659E-3</v>
      </c>
      <c r="V26" t="b">
        <f t="shared" si="3"/>
        <v>1</v>
      </c>
      <c r="W26">
        <f t="shared" si="4"/>
        <v>0.80853183868120349</v>
      </c>
      <c r="X26">
        <f t="shared" si="5"/>
        <v>1.5852310213623589E-2</v>
      </c>
      <c r="Y26">
        <f t="shared" si="6"/>
        <v>0.17329690093661787</v>
      </c>
      <c r="Z26">
        <f t="shared" si="7"/>
        <v>2.3189501685550659E-3</v>
      </c>
    </row>
    <row r="27" spans="1:26" x14ac:dyDescent="0.25">
      <c r="A27" t="s">
        <v>268</v>
      </c>
      <c r="B27" t="s">
        <v>41</v>
      </c>
      <c r="C27">
        <f>INDEX(Final!$E:$E, MATCH(Полуфабрикат!$B27,Final!$B:$B,0))</f>
        <v>1.67</v>
      </c>
      <c r="D27" t="b">
        <f t="shared" si="1"/>
        <v>1</v>
      </c>
      <c r="E27">
        <f>$C27*INDEX(Final!F:F,MATCH(Полуфабрикат!$B27,Final!$B:$B,0))/INDEX(Final!$T:$T,MATCH(Полуфабрикат!$B27,Final!$B:$B,0))</f>
        <v>2.6910681399631677E-2</v>
      </c>
      <c r="F27">
        <f>$C27*INDEX(Final!G:G,MATCH(Полуфабрикат!$B27,Final!$B:$B,0))/INDEX(Final!$T:$T,MATCH(Полуфабрикат!$B27,Final!$B:$B,0))</f>
        <v>0.15031537753222837</v>
      </c>
      <c r="G27">
        <f>$C27*INDEX(Final!H:H,MATCH(Полуфабрикат!$B27,Final!$B:$B,0))/INDEX(Final!$T:$T,MATCH(Полуфабрикат!$B27,Final!$B:$B,0))</f>
        <v>0.22182090239410682</v>
      </c>
      <c r="H27">
        <f>$C27*INDEX(Final!I:I,MATCH(Полуфабрикат!$B27,Final!$B:$B,0))/INDEX(Final!$T:$T,MATCH(Полуфабрикат!$B27,Final!$B:$B,0))</f>
        <v>0.11033379373848987</v>
      </c>
      <c r="I27">
        <f>$C27*INDEX(Final!J:J,MATCH(Полуфабрикат!$B27,Final!$B:$B,0))/INDEX(Final!$T:$T,MATCH(Полуфабрикат!$B27,Final!$B:$B,0))</f>
        <v>8.7267495395948441E-2</v>
      </c>
      <c r="J27">
        <f>$C27*INDEX(Final!K:K,MATCH(Полуфабрикат!$B27,Final!$B:$B,0))/INDEX(Final!$T:$T,MATCH(Полуфабрикат!$B27,Final!$B:$B,0))</f>
        <v>0.12148250460405156</v>
      </c>
      <c r="K27">
        <f>$C27*INDEX(Final!M:M,MATCH(Полуфабрикат!$B27,Final!$B:$B,0))/INDEX(Final!$T:$T,MATCH(Полуфабрикат!$B27,Final!$B:$B,0))</f>
        <v>1.6146408839779004E-2</v>
      </c>
      <c r="L27">
        <f>$C27*INDEX(Final!N:N,MATCH(Полуфабрикат!$B27,Final!$B:$B,0))/INDEX(Final!$T:$T,MATCH(Полуфабрикат!$B27,Final!$B:$B,0))</f>
        <v>0.18837476979742174</v>
      </c>
      <c r="M27">
        <f>$C27*INDEX(Final!O:O,MATCH(Полуфабрикат!$B27,Final!$B:$B,0))/INDEX(Final!$T:$T,MATCH(Полуфабрикат!$B27,Final!$B:$B,0))</f>
        <v>0.2425805709023941</v>
      </c>
      <c r="N27">
        <f>$C27*INDEX(Final!P:P,MATCH(Полуфабрикат!$B27,Final!$B:$B,0))/INDEX(Final!$T:$T,MATCH(Полуфабрикат!$B27,Final!$B:$B,0))</f>
        <v>0.14647099447513812</v>
      </c>
      <c r="O27">
        <f>$C27*INDEX(Final!Q:Q,MATCH(Полуфабрикат!$B27,Final!$B:$B,0))/INDEX(Final!$T:$T,MATCH(Полуфабрикат!$B27,Final!$B:$B,0))</f>
        <v>0.13147790055248618</v>
      </c>
      <c r="P27">
        <f>$C27*INDEX(Final!R:R,MATCH(Полуфабрикат!$B27,Final!$B:$B,0))/INDEX(Final!$T:$T,MATCH(Полуфабрикат!$B27,Final!$B:$B,0))</f>
        <v>0.2264341620626151</v>
      </c>
      <c r="Q27" t="b">
        <f t="shared" si="2"/>
        <v>0</v>
      </c>
      <c r="R27">
        <f>INDEX(Final!$BJ:$BJ,MATCH(Полуфабрикат!$B27,Final!$B:$B,0))/INDEX(Final!$AX:$AX,MATCH(Полуфабрикат!$B27,Final!$B:$B,0))</f>
        <v>0.65584908432083044</v>
      </c>
      <c r="S27">
        <f>INDEX(Final!$BE:$BE,MATCH(Полуфабрикат!$B27,Final!$B:$B,0))/INDEX(Final!$AX:$AX,MATCH(Полуфабрикат!$B27,Final!$B:$B,0))</f>
        <v>5.6131867593771423E-2</v>
      </c>
      <c r="T27">
        <f>INDEX(Final!$AY:$AY,MATCH(Полуфабрикат!$B27,Final!$B:$B,0))/INDEX(Final!$AX:$AX,MATCH(Полуфабрикат!$B27,Final!$B:$B,0))</f>
        <v>0.15712711781412203</v>
      </c>
      <c r="U27">
        <f>INDEX(Final!$BL:$BL,MATCH(Полуфабрикат!$B27,Final!$B:$B,0))/INDEX(Final!$AX:$AX,MATCH(Полуфабрикат!$B27,Final!$B:$B,0))</f>
        <v>0.13089254235628245</v>
      </c>
      <c r="V27" t="b">
        <f t="shared" si="3"/>
        <v>1</v>
      </c>
      <c r="W27">
        <f t="shared" si="4"/>
        <v>0.65584868288568532</v>
      </c>
      <c r="X27">
        <f t="shared" si="5"/>
        <v>5.613183323631793E-2</v>
      </c>
      <c r="Y27">
        <f t="shared" si="6"/>
        <v>0.157127021639028</v>
      </c>
      <c r="Z27">
        <f t="shared" si="7"/>
        <v>0.13089246223896889</v>
      </c>
    </row>
    <row r="28" spans="1:26" x14ac:dyDescent="0.25">
      <c r="A28" t="s">
        <v>269</v>
      </c>
      <c r="B28" t="s">
        <v>43</v>
      </c>
      <c r="C28">
        <f>INDEX(Final!$E:$E, MATCH(Полуфабрикат!$B28,Final!$B:$B,0))</f>
        <v>1.0900000000000001</v>
      </c>
      <c r="D28" t="b">
        <f t="shared" si="1"/>
        <v>1</v>
      </c>
      <c r="E28">
        <f>$C28*INDEX(Final!F:F,MATCH(Полуфабрикат!$B28,Final!$B:$B,0))/INDEX(Final!$T:$T,MATCH(Полуфабрикат!$B28,Final!$B:$B,0))</f>
        <v>4.031065088757397E-4</v>
      </c>
      <c r="F28">
        <f>$C28*INDEX(Final!G:G,MATCH(Полуфабрикат!$B28,Final!$B:$B,0))/INDEX(Final!$T:$T,MATCH(Полуфабрикат!$B28,Final!$B:$B,0))</f>
        <v>1.6124260355029588E-3</v>
      </c>
      <c r="G28">
        <f>$C28*INDEX(Final!H:H,MATCH(Полуфабрикат!$B28,Final!$B:$B,0))/INDEX(Final!$T:$T,MATCH(Полуфабрикат!$B28,Final!$B:$B,0))</f>
        <v>1.9349112426035504E-2</v>
      </c>
      <c r="H28">
        <f>$C28*INDEX(Final!I:I,MATCH(Полуфабрикат!$B28,Final!$B:$B,0))/INDEX(Final!$T:$T,MATCH(Полуфабрикат!$B28,Final!$B:$B,0))</f>
        <v>5.2403846153846162E-2</v>
      </c>
      <c r="I28">
        <f>$C28*INDEX(Final!J:J,MATCH(Полуфабрикат!$B28,Final!$B:$B,0))/INDEX(Final!$T:$T,MATCH(Полуфабрикат!$B28,Final!$B:$B,0))</f>
        <v>0.15237426035502957</v>
      </c>
      <c r="J28">
        <f>$C28*INDEX(Final!K:K,MATCH(Полуфабрикат!$B28,Final!$B:$B,0))/INDEX(Final!$T:$T,MATCH(Полуфабрикат!$B28,Final!$B:$B,0))</f>
        <v>0.33256286982248523</v>
      </c>
      <c r="K28">
        <f>$C28*INDEX(Final!M:M,MATCH(Полуфабрикат!$B28,Final!$B:$B,0))/INDEX(Final!$T:$T,MATCH(Полуфабрикат!$B28,Final!$B:$B,0))</f>
        <v>4.031065088757397E-4</v>
      </c>
      <c r="L28">
        <f>$C28*INDEX(Final!N:N,MATCH(Полуфабрикат!$B28,Final!$B:$B,0))/INDEX(Final!$T:$T,MATCH(Полуфабрикат!$B28,Final!$B:$B,0))</f>
        <v>2.0155325443786984E-3</v>
      </c>
      <c r="M28">
        <f>$C28*INDEX(Final!O:O,MATCH(Полуфабрикат!$B28,Final!$B:$B,0))/INDEX(Final!$T:$T,MATCH(Полуфабрикат!$B28,Final!$B:$B,0))</f>
        <v>1.9349112426035504E-2</v>
      </c>
      <c r="N28">
        <f>$C28*INDEX(Final!P:P,MATCH(Полуфабрикат!$B28,Final!$B:$B,0))/INDEX(Final!$T:$T,MATCH(Полуфабрикат!$B28,Final!$B:$B,0))</f>
        <v>4.3132396449704145E-2</v>
      </c>
      <c r="O28">
        <f>$C28*INDEX(Final!Q:Q,MATCH(Полуфабрикат!$B28,Final!$B:$B,0))/INDEX(Final!$T:$T,MATCH(Полуфабрикат!$B28,Final!$B:$B,0))</f>
        <v>0.11730399408284024</v>
      </c>
      <c r="P28">
        <f>$C28*INDEX(Final!R:R,MATCH(Полуфабрикат!$B28,Final!$B:$B,0))/INDEX(Final!$T:$T,MATCH(Полуфабрикат!$B28,Final!$B:$B,0))</f>
        <v>0.34909023668639055</v>
      </c>
      <c r="Q28" t="b">
        <f t="shared" si="2"/>
        <v>1</v>
      </c>
      <c r="R28">
        <f>INDEX(Final!$BJ:$BJ,MATCH(Полуфабрикат!$B28,Final!$B:$B,0))/INDEX(Final!$AX:$AX,MATCH(Полуфабрикат!$B28,Final!$B:$B,0))</f>
        <v>0.45259080804978563</v>
      </c>
      <c r="S28">
        <f>INDEX(Final!$BE:$BE,MATCH(Полуфабрикат!$B28,Final!$B:$B,0))/INDEX(Final!$AX:$AX,MATCH(Полуфабрикат!$B28,Final!$B:$B,0))</f>
        <v>0.123920893195113</v>
      </c>
      <c r="T28">
        <f>INDEX(Final!$AY:$AY,MATCH(Полуфабрикат!$B28,Final!$B:$B,0))/INDEX(Final!$AX:$AX,MATCH(Полуфабрикат!$B28,Final!$B:$B,0))</f>
        <v>0.32559560830988765</v>
      </c>
      <c r="U28">
        <f>INDEX(Final!$BL:$BL,MATCH(Полуфабрикат!$B28,Final!$B:$B,0))/INDEX(Final!$AX:$AX,MATCH(Полуфабрикат!$B28,Final!$B:$B,0))</f>
        <v>9.7892690445213704E-2</v>
      </c>
      <c r="V28" t="b">
        <f t="shared" si="3"/>
        <v>1</v>
      </c>
      <c r="W28">
        <f t="shared" si="4"/>
        <v>0.45259080804978563</v>
      </c>
      <c r="X28">
        <f t="shared" si="5"/>
        <v>0.123920893195113</v>
      </c>
      <c r="Y28">
        <f t="shared" si="6"/>
        <v>0.32559560830988765</v>
      </c>
      <c r="Z28">
        <f t="shared" si="7"/>
        <v>9.7892690445213704E-2</v>
      </c>
    </row>
    <row r="29" spans="1:26" x14ac:dyDescent="0.25">
      <c r="A29" t="s">
        <v>270</v>
      </c>
      <c r="B29" t="s">
        <v>33</v>
      </c>
      <c r="C29">
        <f>INDEX(Final!$E:$E, MATCH(Полуфабрикат!$B29,Final!$B:$B,0))</f>
        <v>1.2</v>
      </c>
      <c r="D29" t="b">
        <f t="shared" si="1"/>
        <v>1</v>
      </c>
      <c r="E29">
        <f>$C29*INDEX(Final!F:F,MATCH(Полуфабрикат!$B29,Final!$B:$B,0))/INDEX(Final!$T:$T,MATCH(Полуфабрикат!$B29,Final!$B:$B,0))</f>
        <v>0</v>
      </c>
      <c r="F29">
        <f>$C29*INDEX(Final!G:G,MATCH(Полуфабрикат!$B29,Final!$B:$B,0))/INDEX(Final!$T:$T,MATCH(Полуфабрикат!$B29,Final!$B:$B,0))</f>
        <v>4.2931937172774867E-2</v>
      </c>
      <c r="G29">
        <f>$C29*INDEX(Final!H:H,MATCH(Полуфабрикат!$B29,Final!$B:$B,0))/INDEX(Final!$T:$T,MATCH(Полуфабрикат!$B29,Final!$B:$B,0))</f>
        <v>0.14764397905759163</v>
      </c>
      <c r="H29">
        <f>$C29*INDEX(Final!I:I,MATCH(Полуфабрикат!$B29,Final!$B:$B,0))/INDEX(Final!$T:$T,MATCH(Полуфабрикат!$B29,Final!$B:$B,0))</f>
        <v>7.6439790575916225E-2</v>
      </c>
      <c r="I29">
        <f>$C29*INDEX(Final!J:J,MATCH(Полуфабрикат!$B29,Final!$B:$B,0))/INDEX(Final!$T:$T,MATCH(Полуфабрикат!$B29,Final!$B:$B,0))</f>
        <v>5.1308900523560207E-2</v>
      </c>
      <c r="J29">
        <f>$C29*INDEX(Final!K:K,MATCH(Полуфабрикат!$B29,Final!$B:$B,0))/INDEX(Final!$T:$T,MATCH(Полуфабрикат!$B29,Final!$B:$B,0))</f>
        <v>1.6753926701570682E-2</v>
      </c>
      <c r="K29">
        <f>$C29*INDEX(Final!M:M,MATCH(Полуфабрикат!$B29,Final!$B:$B,0))/INDEX(Final!$T:$T,MATCH(Полуфабрикат!$B29,Final!$B:$B,0))</f>
        <v>0</v>
      </c>
      <c r="L29">
        <f>$C29*INDEX(Final!N:N,MATCH(Полуфабрикат!$B29,Final!$B:$B,0))/INDEX(Final!$T:$T,MATCH(Полуфабрикат!$B29,Final!$B:$B,0))</f>
        <v>0.1099476439790576</v>
      </c>
      <c r="M29">
        <f>$C29*INDEX(Final!O:O,MATCH(Полуфабрикат!$B29,Final!$B:$B,0))/INDEX(Final!$T:$T,MATCH(Полуфабрикат!$B29,Final!$B:$B,0))</f>
        <v>0.37905759162303665</v>
      </c>
      <c r="N29">
        <f>$C29*INDEX(Final!P:P,MATCH(Полуфабрикат!$B29,Final!$B:$B,0))/INDEX(Final!$T:$T,MATCH(Полуфабрикат!$B29,Final!$B:$B,0))</f>
        <v>0.19685863874345549</v>
      </c>
      <c r="O29">
        <f>$C29*INDEX(Final!Q:Q,MATCH(Полуфабрикат!$B29,Final!$B:$B,0))/INDEX(Final!$T:$T,MATCH(Полуфабрикат!$B29,Final!$B:$B,0))</f>
        <v>0.12460732984293194</v>
      </c>
      <c r="P29">
        <f>$C29*INDEX(Final!R:R,MATCH(Полуфабрикат!$B29,Final!$B:$B,0))/INDEX(Final!$T:$T,MATCH(Полуфабрикат!$B29,Final!$B:$B,0))</f>
        <v>5.1308900523560207E-2</v>
      </c>
      <c r="Q29" t="b">
        <f t="shared" si="2"/>
        <v>1</v>
      </c>
      <c r="R29">
        <f>INDEX(Final!$BJ:$BJ,MATCH(Полуфабрикат!$B29,Final!$B:$B,0))/INDEX(Final!$AX:$AX,MATCH(Полуфабрикат!$B29,Final!$B:$B,0))</f>
        <v>0.2209187689568112</v>
      </c>
      <c r="S29">
        <f>INDEX(Final!$BE:$BE,MATCH(Полуфабрикат!$B29,Final!$B:$B,0))/INDEX(Final!$AX:$AX,MATCH(Полуфабрикат!$B29,Final!$B:$B,0))</f>
        <v>0.42847130117857646</v>
      </c>
      <c r="T29">
        <f>INDEX(Final!$AY:$AY,MATCH(Полуфабрикат!$B29,Final!$B:$B,0))/INDEX(Final!$AX:$AX,MATCH(Полуфабрикат!$B29,Final!$B:$B,0))</f>
        <v>0.19325819157605137</v>
      </c>
      <c r="U29">
        <f>INDEX(Final!$BL:$BL,MATCH(Полуфабрикат!$B29,Final!$B:$B,0))/INDEX(Final!$AX:$AX,MATCH(Полуфабрикат!$B29,Final!$B:$B,0))</f>
        <v>0.15735173828856097</v>
      </c>
      <c r="V29" t="b">
        <f t="shared" si="3"/>
        <v>1</v>
      </c>
      <c r="W29">
        <f t="shared" si="4"/>
        <v>0.2209187689568112</v>
      </c>
      <c r="X29">
        <f t="shared" si="5"/>
        <v>0.42847130117857646</v>
      </c>
      <c r="Y29">
        <f t="shared" si="6"/>
        <v>0.19325819157605137</v>
      </c>
      <c r="Z29">
        <f t="shared" si="7"/>
        <v>0.15735173828856097</v>
      </c>
    </row>
    <row r="30" spans="1:26" x14ac:dyDescent="0.25">
      <c r="A30" t="s">
        <v>271</v>
      </c>
      <c r="B30" t="s">
        <v>18</v>
      </c>
      <c r="C30">
        <f>INDEX(Final!$E:$E, MATCH(Полуфабрикат!$B30,Final!$B:$B,0))</f>
        <v>0.61</v>
      </c>
      <c r="D30" t="b">
        <f t="shared" si="1"/>
        <v>1</v>
      </c>
      <c r="E30">
        <f>$C30*INDEX(Final!F:F,MATCH(Полуфабрикат!$B30,Final!$B:$B,0))/INDEX(Final!$T:$T,MATCH(Полуфабрикат!$B30,Final!$B:$B,0))</f>
        <v>2.8896662002798321E-2</v>
      </c>
      <c r="F30">
        <f>$C30*INDEX(Final!G:G,MATCH(Полуфабрикат!$B30,Final!$B:$B,0))/INDEX(Final!$T:$T,MATCH(Полуфабрикат!$B30,Final!$B:$B,0))</f>
        <v>5.0599640215870476E-2</v>
      </c>
      <c r="G30">
        <f>$C30*INDEX(Final!H:H,MATCH(Полуфабрикат!$B30,Final!$B:$B,0))/INDEX(Final!$T:$T,MATCH(Полуфабрикат!$B30,Final!$B:$B,0))</f>
        <v>7.7301619028582846E-2</v>
      </c>
      <c r="H30">
        <f>$C30*INDEX(Final!I:I,MATCH(Полуфабрикат!$B30,Final!$B:$B,0))/INDEX(Final!$T:$T,MATCH(Полуфабрикат!$B30,Final!$B:$B,0))</f>
        <v>5.5232860283829704E-2</v>
      </c>
      <c r="I30">
        <f>$C30*INDEX(Final!J:J,MATCH(Полуфабрикат!$B30,Final!$B:$B,0))/INDEX(Final!$T:$T,MATCH(Полуфабрикат!$B30,Final!$B:$B,0))</f>
        <v>5.2794323405956425E-2</v>
      </c>
      <c r="J30">
        <f>$C30*INDEX(Final!K:K,MATCH(Полуфабрикат!$B30,Final!$B:$B,0))/INDEX(Final!$T:$T,MATCH(Полуфабрикат!$B30,Final!$B:$B,0))</f>
        <v>5.5598640815510691E-2</v>
      </c>
      <c r="K30">
        <f>$C30*INDEX(Final!M:M,MATCH(Полуфабрикат!$B30,Final!$B:$B,0))/INDEX(Final!$T:$T,MATCH(Полуфабрикат!$B30,Final!$B:$B,0))</f>
        <v>2.4141515090945434E-2</v>
      </c>
      <c r="L30">
        <f>$C30*INDEX(Final!N:N,MATCH(Полуфабрикат!$B30,Final!$B:$B,0))/INDEX(Final!$T:$T,MATCH(Полуфабрикат!$B30,Final!$B:$B,0))</f>
        <v>4.6454127523485905E-2</v>
      </c>
      <c r="M30">
        <f>$C30*INDEX(Final!O:O,MATCH(Полуфабрикат!$B30,Final!$B:$B,0))/INDEX(Final!$T:$T,MATCH(Полуфабрикат!$B30,Final!$B:$B,0))</f>
        <v>6.3401958824705174E-2</v>
      </c>
      <c r="N30">
        <f>$C30*INDEX(Final!P:P,MATCH(Полуфабрикат!$B30,Final!$B:$B,0))/INDEX(Final!$T:$T,MATCH(Полуфабрикат!$B30,Final!$B:$B,0))</f>
        <v>4.2308614831101342E-2</v>
      </c>
      <c r="O30">
        <f>$C30*INDEX(Final!Q:Q,MATCH(Полуфабрикат!$B30,Final!$B:$B,0))/INDEX(Final!$T:$T,MATCH(Полуфабрикат!$B30,Final!$B:$B,0))</f>
        <v>4.2430541674995E-2</v>
      </c>
      <c r="P30">
        <f>$C30*INDEX(Final!R:R,MATCH(Полуфабрикат!$B30,Final!$B:$B,0))/INDEX(Final!$T:$T,MATCH(Полуфабрикат!$B30,Final!$B:$B,0))</f>
        <v>7.0961423146112326E-2</v>
      </c>
      <c r="Q30" t="b">
        <f t="shared" si="2"/>
        <v>1</v>
      </c>
      <c r="R30">
        <f>INDEX(Final!$BJ:$BJ,MATCH(Полуфабрикат!$B30,Final!$B:$B,0))/INDEX(Final!$AX:$AX,MATCH(Полуфабрикат!$B30,Final!$B:$B,0))</f>
        <v>0.16491081906707158</v>
      </c>
      <c r="S30">
        <f>INDEX(Final!$BE:$BE,MATCH(Полуфабрикат!$B30,Final!$B:$B,0))/INDEX(Final!$AX:$AX,MATCH(Полуфабрикат!$B30,Final!$B:$B,0))</f>
        <v>9.7875066068245142E-2</v>
      </c>
      <c r="T30">
        <f>INDEX(Final!$AY:$AY,MATCH(Полуфабрикат!$B30,Final!$B:$B,0))/INDEX(Final!$AX:$AX,MATCH(Полуфабрикат!$B30,Final!$B:$B,0))</f>
        <v>0.55115249894738727</v>
      </c>
      <c r="U30">
        <f>INDEX(Final!$BL:$BL,MATCH(Полуфабрикат!$B30,Final!$B:$B,0))/INDEX(Final!$AX:$AX,MATCH(Полуфабрикат!$B30,Final!$B:$B,0))</f>
        <v>0.186061615917296</v>
      </c>
      <c r="V30" t="b">
        <f t="shared" si="3"/>
        <v>1</v>
      </c>
      <c r="W30">
        <f t="shared" si="4"/>
        <v>0.16491081906707158</v>
      </c>
      <c r="X30">
        <f t="shared" si="5"/>
        <v>9.7875066068245142E-2</v>
      </c>
      <c r="Y30">
        <f t="shared" si="6"/>
        <v>0.55115249894738727</v>
      </c>
      <c r="Z30">
        <f t="shared" si="7"/>
        <v>0.186061615917296</v>
      </c>
    </row>
    <row r="31" spans="1:26" x14ac:dyDescent="0.25">
      <c r="A31" t="s">
        <v>272</v>
      </c>
      <c r="B31" t="s">
        <v>34</v>
      </c>
      <c r="C31">
        <f>INDEX(Final!$E:$E, MATCH(Полуфабрикат!$B31,Final!$B:$B,0))</f>
        <v>0.26</v>
      </c>
      <c r="D31" t="b">
        <f t="shared" si="1"/>
        <v>1</v>
      </c>
      <c r="E31">
        <f>$C31*INDEX(Final!F:F,MATCH(Полуфабрикат!$B31,Final!$B:$B,0))/INDEX(Final!$T:$T,MATCH(Полуфабрикат!$B31,Final!$B:$B,0))</f>
        <v>1.220408163265306E-2</v>
      </c>
      <c r="F31">
        <f>$C31*INDEX(Final!G:G,MATCH(Полуфабрикат!$B31,Final!$B:$B,0))/INDEX(Final!$T:$T,MATCH(Полуфабрикат!$B31,Final!$B:$B,0))</f>
        <v>2.4408163265306121E-2</v>
      </c>
      <c r="G31">
        <f>$C31*INDEX(Final!H:H,MATCH(Полуфабрикат!$B31,Final!$B:$B,0))/INDEX(Final!$T:$T,MATCH(Полуфабрикат!$B31,Final!$B:$B,0))</f>
        <v>3.2367346938775507E-2</v>
      </c>
      <c r="H31">
        <f>$C31*INDEX(Final!I:I,MATCH(Полуфабрикат!$B31,Final!$B:$B,0))/INDEX(Final!$T:$T,MATCH(Полуфабрикат!$B31,Final!$B:$B,0))</f>
        <v>2.0693877551020409E-2</v>
      </c>
      <c r="I31">
        <f>$C31*INDEX(Final!J:J,MATCH(Полуфабрикат!$B31,Final!$B:$B,0))/INDEX(Final!$T:$T,MATCH(Полуфабрикат!$B31,Final!$B:$B,0))</f>
        <v>2.1224489795918369E-2</v>
      </c>
      <c r="J31">
        <f>$C31*INDEX(Final!K:K,MATCH(Полуфабрикат!$B31,Final!$B:$B,0))/INDEX(Final!$T:$T,MATCH(Полуфабрикат!$B31,Final!$B:$B,0))</f>
        <v>1.8571428571428572E-2</v>
      </c>
      <c r="K31">
        <f>$C31*INDEX(Final!M:M,MATCH(Полуфабрикат!$B31,Final!$B:$B,0))/INDEX(Final!$T:$T,MATCH(Полуфабрикат!$B31,Final!$B:$B,0))</f>
        <v>6.3673469387755099E-3</v>
      </c>
      <c r="L31">
        <f>$C31*INDEX(Final!N:N,MATCH(Полуфабрикат!$B31,Final!$B:$B,0))/INDEX(Final!$T:$T,MATCH(Полуфабрикат!$B31,Final!$B:$B,0))</f>
        <v>1.9632653061224491E-2</v>
      </c>
      <c r="M31">
        <f>$C31*INDEX(Final!O:O,MATCH(Полуфабрикат!$B31,Final!$B:$B,0))/INDEX(Final!$T:$T,MATCH(Полуфабрикат!$B31,Final!$B:$B,0))</f>
        <v>3.8204081632653063E-2</v>
      </c>
      <c r="N31">
        <f>$C31*INDEX(Final!P:P,MATCH(Полуфабрикат!$B31,Final!$B:$B,0))/INDEX(Final!$T:$T,MATCH(Полуфабрикат!$B31,Final!$B:$B,0))</f>
        <v>2.2285714285714287E-2</v>
      </c>
      <c r="O31">
        <f>$C31*INDEX(Final!Q:Q,MATCH(Полуфабрикат!$B31,Final!$B:$B,0))/INDEX(Final!$T:$T,MATCH(Полуфабрикат!$B31,Final!$B:$B,0))</f>
        <v>2.1755102040816328E-2</v>
      </c>
      <c r="P31">
        <f>$C31*INDEX(Final!R:R,MATCH(Полуфабрикат!$B31,Final!$B:$B,0))/INDEX(Final!$T:$T,MATCH(Полуфабрикат!$B31,Final!$B:$B,0))</f>
        <v>2.2816326530612246E-2</v>
      </c>
      <c r="Q31" t="b">
        <f t="shared" si="2"/>
        <v>1</v>
      </c>
      <c r="R31">
        <f>INDEX(Final!$BJ:$BJ,MATCH(Полуфабрикат!$B31,Final!$B:$B,0))/INDEX(Final!$AX:$AX,MATCH(Полуфабрикат!$B31,Final!$B:$B,0))</f>
        <v>0.30193713109522136</v>
      </c>
      <c r="S31">
        <f>INDEX(Final!$BE:$BE,MATCH(Полуфабрикат!$B31,Final!$B:$B,0))/INDEX(Final!$AX:$AX,MATCH(Полуфабрикат!$B31,Final!$B:$B,0))</f>
        <v>0.19258353474428577</v>
      </c>
      <c r="T31">
        <f>INDEX(Final!$AY:$AY,MATCH(Полуфабрикат!$B31,Final!$B:$B,0))/INDEX(Final!$AX:$AX,MATCH(Полуфабрикат!$B31,Final!$B:$B,0))</f>
        <v>0.35494825471731944</v>
      </c>
      <c r="U31">
        <f>INDEX(Final!$BL:$BL,MATCH(Полуфабрикат!$B31,Final!$B:$B,0))/INDEX(Final!$AX:$AX,MATCH(Полуфабрикат!$B31,Final!$B:$B,0))</f>
        <v>0.15053107944317343</v>
      </c>
      <c r="V31" t="b">
        <f t="shared" si="3"/>
        <v>1</v>
      </c>
      <c r="W31">
        <f t="shared" si="4"/>
        <v>0.30193713109522136</v>
      </c>
      <c r="X31">
        <f t="shared" si="5"/>
        <v>0.19258353474428577</v>
      </c>
      <c r="Y31">
        <f t="shared" si="6"/>
        <v>0.35494825471731944</v>
      </c>
      <c r="Z31">
        <f t="shared" si="7"/>
        <v>0.15053107944317343</v>
      </c>
    </row>
    <row r="32" spans="1:26" x14ac:dyDescent="0.25">
      <c r="A32" t="s">
        <v>273</v>
      </c>
      <c r="B32" t="s">
        <v>188</v>
      </c>
      <c r="C32">
        <f>INDEX(Final!$E:$E, MATCH(Полуфабрикат!$B32,Final!$B:$B,0))</f>
        <v>0.28000000000000003</v>
      </c>
      <c r="D32" t="b">
        <f t="shared" si="1"/>
        <v>1</v>
      </c>
      <c r="E32">
        <f>$C32*INDEX(Final!F:F,MATCH(Полуфабрикат!$B32,Final!$B:$B,0))/INDEX(Final!$T:$T,MATCH(Полуфабрикат!$B32,Final!$B:$B,0))</f>
        <v>5.033845258024602E-3</v>
      </c>
      <c r="F32">
        <f>$C32*INDEX(Final!G:G,MATCH(Полуфабрикат!$B32,Final!$B:$B,0))/INDEX(Final!$T:$T,MATCH(Полуфабрикат!$B32,Final!$B:$B,0))</f>
        <v>2.2438314287793873E-2</v>
      </c>
      <c r="G32">
        <f>$C32*INDEX(Final!H:H,MATCH(Полуфабрикат!$B32,Final!$B:$B,0))/INDEX(Final!$T:$T,MATCH(Полуфабрикат!$B32,Final!$B:$B,0))</f>
        <v>4.8667297474343112E-2</v>
      </c>
      <c r="H32">
        <f>$C32*INDEX(Final!I:I,MATCH(Полуфабрикат!$B32,Final!$B:$B,0))/INDEX(Final!$T:$T,MATCH(Полуфабрикат!$B32,Final!$B:$B,0))</f>
        <v>2.3701870587378996E-2</v>
      </c>
      <c r="I32">
        <f>$C32*INDEX(Final!J:J,MATCH(Полуфабрикат!$B32,Final!$B:$B,0))/INDEX(Final!$T:$T,MATCH(Полуфабрикат!$B32,Final!$B:$B,0))</f>
        <v>1.6242812431763596E-2</v>
      </c>
      <c r="J32">
        <f>$C32*INDEX(Final!K:K,MATCH(Полуфабрикат!$B32,Final!$B:$B,0))/INDEX(Final!$T:$T,MATCH(Полуфабрикат!$B32,Final!$B:$B,0))</f>
        <v>1.9809301987044184E-2</v>
      </c>
      <c r="K32">
        <f>$C32*INDEX(Final!M:M,MATCH(Полуфабрикат!$B32,Final!$B:$B,0))/INDEX(Final!$T:$T,MATCH(Полуфабрикат!$B32,Final!$B:$B,0))</f>
        <v>1.2839362399010119E-3</v>
      </c>
      <c r="L32">
        <f>$C32*INDEX(Final!N:N,MATCH(Полуфабрикат!$B32,Final!$B:$B,0))/INDEX(Final!$T:$T,MATCH(Полуфабрикат!$B32,Final!$B:$B,0))</f>
        <v>1.3491520489118567E-2</v>
      </c>
      <c r="M32">
        <f>$C32*INDEX(Final!O:O,MATCH(Полуфабрикат!$B32,Final!$B:$B,0))/INDEX(Final!$T:$T,MATCH(Полуфабрикат!$B32,Final!$B:$B,0))</f>
        <v>3.8497707256714468E-2</v>
      </c>
      <c r="N32">
        <f>$C32*INDEX(Final!P:P,MATCH(Полуфабрикат!$B32,Final!$B:$B,0))/INDEX(Final!$T:$T,MATCH(Полуфабрикат!$B32,Final!$B:$B,0))</f>
        <v>2.5658344857704345E-2</v>
      </c>
      <c r="O32">
        <f>$C32*INDEX(Final!Q:Q,MATCH(Полуфабрикат!$B32,Final!$B:$B,0))/INDEX(Final!$T:$T,MATCH(Полуфабрикат!$B32,Final!$B:$B,0))</f>
        <v>2.160273673484242E-2</v>
      </c>
      <c r="P32">
        <f>$C32*INDEX(Final!R:R,MATCH(Полуфабрикат!$B32,Final!$B:$B,0))/INDEX(Final!$T:$T,MATCH(Полуфабрикат!$B32,Final!$B:$B,0))</f>
        <v>4.3592692335686738E-2</v>
      </c>
      <c r="Q32" t="b">
        <f t="shared" si="2"/>
        <v>1</v>
      </c>
      <c r="R32">
        <f>INDEX(Final!$BJ:$BJ,MATCH(Полуфабрикат!$B32,Final!$B:$B,0))/INDEX(Final!$AX:$AX,MATCH(Полуфабрикат!$B32,Final!$B:$B,0))</f>
        <v>8.7214605261252909E-2</v>
      </c>
      <c r="S32">
        <f>INDEX(Final!$BE:$BE,MATCH(Полуфабрикат!$B32,Final!$B:$B,0))/INDEX(Final!$AX:$AX,MATCH(Полуфабрикат!$B32,Final!$B:$B,0))</f>
        <v>0.22886594953019357</v>
      </c>
      <c r="T32">
        <f>INDEX(Final!$AY:$AY,MATCH(Полуфабрикат!$B32,Final!$B:$B,0))/INDEX(Final!$AX:$AX,MATCH(Полуфабрикат!$B32,Final!$B:$B,0))</f>
        <v>0.37409332426054348</v>
      </c>
      <c r="U32">
        <f>INDEX(Final!$BL:$BL,MATCH(Полуфабрикат!$B32,Final!$B:$B,0))/INDEX(Final!$AX:$AX,MATCH(Полуфабрикат!$B32,Final!$B:$B,0))</f>
        <v>0.30982612094801004</v>
      </c>
      <c r="V32" t="b">
        <f t="shared" si="3"/>
        <v>1</v>
      </c>
      <c r="W32">
        <f t="shared" si="4"/>
        <v>8.7214605261252909E-2</v>
      </c>
      <c r="X32">
        <f t="shared" si="5"/>
        <v>0.22886594953019357</v>
      </c>
      <c r="Y32">
        <f t="shared" si="6"/>
        <v>0.37409332426054348</v>
      </c>
      <c r="Z32">
        <f t="shared" si="7"/>
        <v>0.30982612094801004</v>
      </c>
    </row>
    <row r="33" spans="1:26" x14ac:dyDescent="0.25">
      <c r="A33" t="s">
        <v>274</v>
      </c>
      <c r="B33" t="s">
        <v>42</v>
      </c>
      <c r="C33">
        <f>INDEX(Final!$E:$E, MATCH(Полуфабрикат!$B33,Final!$B:$B,0))</f>
        <v>1.1200000000000001</v>
      </c>
      <c r="D33" t="b">
        <f t="shared" si="1"/>
        <v>1</v>
      </c>
      <c r="E33">
        <f>$C33*INDEX(Final!F:F,MATCH(Полуфабрикат!$B33,Final!$B:$B,0))/INDEX(Final!$T:$T,MATCH(Полуфабрикат!$B33,Final!$B:$B,0))</f>
        <v>2.4123076923076924E-2</v>
      </c>
      <c r="F33">
        <f>$C33*INDEX(Final!G:G,MATCH(Полуфабрикат!$B33,Final!$B:$B,0))/INDEX(Final!$T:$T,MATCH(Полуфабрикат!$B33,Final!$B:$B,0))</f>
        <v>8.4430769230769226E-2</v>
      </c>
      <c r="G33">
        <f>$C33*INDEX(Final!H:H,MATCH(Полуфабрикат!$B33,Final!$B:$B,0))/INDEX(Final!$T:$T,MATCH(Полуфабрикат!$B33,Final!$B:$B,0))</f>
        <v>0.19872820512820516</v>
      </c>
      <c r="H33">
        <f>$C33*INDEX(Final!I:I,MATCH(Полуфабрикат!$B33,Final!$B:$B,0))/INDEX(Final!$T:$T,MATCH(Полуфабрикат!$B33,Final!$B:$B,0))</f>
        <v>0.1280820512820513</v>
      </c>
      <c r="I33">
        <f>$C33*INDEX(Final!J:J,MATCH(Полуфабрикат!$B33,Final!$B:$B,0))/INDEX(Final!$T:$T,MATCH(Полуфабрикат!$B33,Final!$B:$B,0))</f>
        <v>0.11429743589743592</v>
      </c>
      <c r="J33">
        <f>$C33*INDEX(Final!K:K,MATCH(Полуфабрикат!$B33,Final!$B:$B,0))/INDEX(Final!$T:$T,MATCH(Полуфабрикат!$B33,Final!$B:$B,0))</f>
        <v>7.9835897435897446E-2</v>
      </c>
      <c r="K33">
        <f>$C33*INDEX(Final!M:M,MATCH(Полуфабрикат!$B33,Final!$B:$B,0))/INDEX(Final!$T:$T,MATCH(Полуфабрикат!$B33,Final!$B:$B,0))</f>
        <v>2.0102564102564106E-2</v>
      </c>
      <c r="L33">
        <f>$C33*INDEX(Final!N:N,MATCH(Полуфабрикат!$B33,Final!$B:$B,0))/INDEX(Final!$T:$T,MATCH(Полуфабрикат!$B33,Final!$B:$B,0))</f>
        <v>6.1456410256410264E-2</v>
      </c>
      <c r="M33">
        <f>$C33*INDEX(Final!O:O,MATCH(Полуфабрикат!$B33,Final!$B:$B,0))/INDEX(Final!$T:$T,MATCH(Полуфабрикат!$B33,Final!$B:$B,0))</f>
        <v>0.13727179487179489</v>
      </c>
      <c r="N33">
        <f>$C33*INDEX(Final!P:P,MATCH(Полуфабрикат!$B33,Final!$B:$B,0))/INDEX(Final!$T:$T,MATCH(Полуфабрикат!$B33,Final!$B:$B,0))</f>
        <v>9.3046153846153848E-2</v>
      </c>
      <c r="O33">
        <f>$C33*INDEX(Final!Q:Q,MATCH(Полуфабрикат!$B33,Final!$B:$B,0))/INDEX(Final!$T:$T,MATCH(Полуфабрикат!$B33,Final!$B:$B,0))</f>
        <v>8.672820512820513E-2</v>
      </c>
      <c r="P33">
        <f>$C33*INDEX(Final!R:R,MATCH(Полуфабрикат!$B33,Final!$B:$B,0))/INDEX(Final!$T:$T,MATCH(Полуфабрикат!$B33,Final!$B:$B,0))</f>
        <v>9.2471794871794868E-2</v>
      </c>
      <c r="Q33" t="b">
        <f t="shared" si="2"/>
        <v>0</v>
      </c>
      <c r="R33">
        <f>INDEX(Final!$BJ:$BJ,MATCH(Полуфабрикат!$B33,Final!$B:$B,0))/INDEX(Final!$AX:$AX,MATCH(Полуфабрикат!$B33,Final!$B:$B,0))</f>
        <v>0.1720974488623305</v>
      </c>
      <c r="S33">
        <f>INDEX(Final!$BE:$BE,MATCH(Полуфабрикат!$B33,Final!$B:$B,0))/INDEX(Final!$AX:$AX,MATCH(Полуфабрикат!$B33,Final!$B:$B,0))</f>
        <v>0.1552461503102735</v>
      </c>
      <c r="T33">
        <f>INDEX(Final!$AY:$AY,MATCH(Полуфабрикат!$B33,Final!$B:$B,0))/INDEX(Final!$AX:$AX,MATCH(Полуфабрикат!$B33,Final!$B:$B,0))</f>
        <v>0.61498138358997934</v>
      </c>
      <c r="U33">
        <f>INDEX(Final!$BL:$BL,MATCH(Полуфабрикат!$B33,Final!$B:$B,0))/INDEX(Final!$AX:$AX,MATCH(Полуфабрикат!$B33,Final!$B:$B,0))</f>
        <v>5.7674097908526775E-2</v>
      </c>
      <c r="V33" t="b">
        <f t="shared" si="3"/>
        <v>1</v>
      </c>
      <c r="W33">
        <f t="shared" si="4"/>
        <v>0.17209760707663257</v>
      </c>
      <c r="X33">
        <f t="shared" si="5"/>
        <v>0.15524629303267573</v>
      </c>
      <c r="Y33">
        <f t="shared" si="6"/>
        <v>0.61498194896065184</v>
      </c>
      <c r="Z33">
        <f t="shared" si="7"/>
        <v>5.7674150930039927E-2</v>
      </c>
    </row>
    <row r="34" spans="1:26" x14ac:dyDescent="0.25">
      <c r="A34" t="s">
        <v>275</v>
      </c>
      <c r="B34" t="s">
        <v>40</v>
      </c>
      <c r="C34">
        <f>INDEX(Final!$E:$E, MATCH(Полуфабрикат!$B34,Final!$B:$B,0))</f>
        <v>0.82</v>
      </c>
      <c r="D34" t="b">
        <f t="shared" si="1"/>
        <v>1</v>
      </c>
      <c r="E34">
        <f>$C34*INDEX(Final!F:F,MATCH(Полуфабрикат!$B34,Final!$B:$B,0))/INDEX(Final!$T:$T,MATCH(Полуфабрикат!$B34,Final!$B:$B,0))</f>
        <v>2.4755489021956088E-2</v>
      </c>
      <c r="F34">
        <f>$C34*INDEX(Final!G:G,MATCH(Полуфабрикат!$B34,Final!$B:$B,0))/INDEX(Final!$T:$T,MATCH(Полуфабрикат!$B34,Final!$B:$B,0))</f>
        <v>5.9740518962075849E-2</v>
      </c>
      <c r="G34">
        <f>$C34*INDEX(Final!H:H,MATCH(Полуфабрикат!$B34,Final!$B:$B,0))/INDEX(Final!$T:$T,MATCH(Полуфабрикат!$B34,Final!$B:$B,0))</f>
        <v>9.4930139720558887E-2</v>
      </c>
      <c r="H34">
        <f>$C34*INDEX(Final!I:I,MATCH(Полуфабрикат!$B34,Final!$B:$B,0))/INDEX(Final!$T:$T,MATCH(Полуфабрикат!$B34,Final!$B:$B,0))</f>
        <v>6.6082834331337326E-2</v>
      </c>
      <c r="I34">
        <f>$C34*INDEX(Final!J:J,MATCH(Полуфабрикат!$B34,Final!$B:$B,0))/INDEX(Final!$T:$T,MATCH(Полуфабрикат!$B34,Final!$B:$B,0))</f>
        <v>6.4241516966067863E-2</v>
      </c>
      <c r="J34">
        <f>$C34*INDEX(Final!K:K,MATCH(Полуфабрикат!$B34,Final!$B:$B,0))/INDEX(Final!$T:$T,MATCH(Полуфабрикат!$B34,Final!$B:$B,0))</f>
        <v>5.8103792415169664E-2</v>
      </c>
      <c r="K34">
        <f>$C34*INDEX(Final!M:M,MATCH(Полуфабрикат!$B34,Final!$B:$B,0))/INDEX(Final!$T:$T,MATCH(Полуфабрикат!$B34,Final!$B:$B,0))</f>
        <v>2.0868263473053893E-2</v>
      </c>
      <c r="L34">
        <f>$C34*INDEX(Final!N:N,MATCH(Полуфабрикат!$B34,Final!$B:$B,0))/INDEX(Final!$T:$T,MATCH(Полуфабрикат!$B34,Final!$B:$B,0))</f>
        <v>7.0993013972055888E-2</v>
      </c>
      <c r="M34">
        <f>$C34*INDEX(Final!O:O,MATCH(Полуфабрикат!$B34,Final!$B:$B,0))/INDEX(Final!$T:$T,MATCH(Полуфабрикат!$B34,Final!$B:$B,0))</f>
        <v>0.13932634730538923</v>
      </c>
      <c r="N34">
        <f>$C34*INDEX(Final!P:P,MATCH(Полуфабрикат!$B34,Final!$B:$B,0))/INDEX(Final!$T:$T,MATCH(Полуфабрикат!$B34,Final!$B:$B,0))</f>
        <v>7.7744510978043899E-2</v>
      </c>
      <c r="O34">
        <f>$C34*INDEX(Final!Q:Q,MATCH(Полуфабрикат!$B34,Final!$B:$B,0))/INDEX(Final!$T:$T,MATCH(Полуфабрикат!$B34,Final!$B:$B,0))</f>
        <v>6.2400199600798401E-2</v>
      </c>
      <c r="P34">
        <f>$C34*INDEX(Final!R:R,MATCH(Полуфабрикат!$B34,Final!$B:$B,0))/INDEX(Final!$T:$T,MATCH(Полуфабрикат!$B34,Final!$B:$B,0))</f>
        <v>8.0404191616766457E-2</v>
      </c>
      <c r="Q34" t="b">
        <f t="shared" si="2"/>
        <v>1</v>
      </c>
      <c r="R34">
        <f>INDEX(Final!$BJ:$BJ,MATCH(Полуфабрикат!$B34,Final!$B:$B,0))/INDEX(Final!$AX:$AX,MATCH(Полуфабрикат!$B34,Final!$B:$B,0))</f>
        <v>0.34193389316741357</v>
      </c>
      <c r="S34">
        <f>INDEX(Final!$BE:$BE,MATCH(Полуфабрикат!$B34,Final!$B:$B,0))/INDEX(Final!$AX:$AX,MATCH(Полуфабрикат!$B34,Final!$B:$B,0))</f>
        <v>8.1812022550829491E-2</v>
      </c>
      <c r="T34">
        <f>INDEX(Final!$AY:$AY,MATCH(Полуфабрикат!$B34,Final!$B:$B,0))/INDEX(Final!$AX:$AX,MATCH(Полуфабрикат!$B34,Final!$B:$B,0))</f>
        <v>0.47075996129644476</v>
      </c>
      <c r="U34">
        <f>INDEX(Final!$BL:$BL,MATCH(Полуфабрикат!$B34,Final!$B:$B,0))/INDEX(Final!$AX:$AX,MATCH(Полуфабрикат!$B34,Final!$B:$B,0))</f>
        <v>0.10549412298531212</v>
      </c>
      <c r="V34" t="b">
        <f t="shared" si="3"/>
        <v>1</v>
      </c>
      <c r="W34">
        <f t="shared" si="4"/>
        <v>0.34193389316741357</v>
      </c>
      <c r="X34">
        <f t="shared" si="5"/>
        <v>8.1812022550829491E-2</v>
      </c>
      <c r="Y34">
        <f t="shared" si="6"/>
        <v>0.47075996129644476</v>
      </c>
      <c r="Z34">
        <f t="shared" si="7"/>
        <v>0.10549412298531212</v>
      </c>
    </row>
    <row r="35" spans="1:26" x14ac:dyDescent="0.25">
      <c r="A35" t="s">
        <v>276</v>
      </c>
      <c r="B35" t="s">
        <v>50</v>
      </c>
      <c r="C35">
        <f>INDEX(Final!$E:$E, MATCH(Полуфабрикат!$B35,Final!$B:$B,0))</f>
        <v>1.28</v>
      </c>
      <c r="D35" t="b">
        <f t="shared" si="1"/>
        <v>1</v>
      </c>
      <c r="E35">
        <f>$C35*INDEX(Final!F:F,MATCH(Полуфабрикат!$B35,Final!$B:$B,0))/INDEX(Final!$T:$T,MATCH(Полуфабрикат!$B35,Final!$B:$B,0))</f>
        <v>3.9101025529129389E-3</v>
      </c>
      <c r="F35">
        <f>$C35*INDEX(Final!G:G,MATCH(Полуфабрикат!$B35,Final!$B:$B,0))/INDEX(Final!$T:$T,MATCH(Полуфабрикат!$B35,Final!$B:$B,0))</f>
        <v>1.0054549421776129E-2</v>
      </c>
      <c r="G35">
        <f>$C35*INDEX(Final!H:H,MATCH(Полуфабрикат!$B35,Final!$B:$B,0))/INDEX(Final!$T:$T,MATCH(Полуфабрикат!$B35,Final!$B:$B,0))</f>
        <v>4.9714161029893081E-2</v>
      </c>
      <c r="H35">
        <f>$C35*INDEX(Final!I:I,MATCH(Полуфабрикат!$B35,Final!$B:$B,0))/INDEX(Final!$T:$T,MATCH(Полуфабрикат!$B35,Final!$B:$B,0))</f>
        <v>8.4346497927121969E-2</v>
      </c>
      <c r="I35">
        <f>$C35*INDEX(Final!J:J,MATCH(Полуфабрикат!$B35,Final!$B:$B,0))/INDEX(Final!$T:$T,MATCH(Полуфабрикат!$B35,Final!$B:$B,0))</f>
        <v>0.17707178703905738</v>
      </c>
      <c r="J35">
        <f>$C35*INDEX(Final!K:K,MATCH(Полуфабрикат!$B35,Final!$B:$B,0))/INDEX(Final!$T:$T,MATCH(Полуфабрикат!$B35,Final!$B:$B,0))</f>
        <v>0.35526074623608989</v>
      </c>
      <c r="K35">
        <f>$C35*INDEX(Final!M:M,MATCH(Полуфабрикат!$B35,Final!$B:$B,0))/INDEX(Final!$T:$T,MATCH(Полуфабрикат!$B35,Final!$B:$B,0))</f>
        <v>3.0722234344315951E-3</v>
      </c>
      <c r="L35">
        <f>$C35*INDEX(Final!N:N,MATCH(Полуфабрикат!$B35,Final!$B:$B,0))/INDEX(Final!$T:$T,MATCH(Полуфабрикат!$B35,Final!$B:$B,0))</f>
        <v>7.8202051058258778E-3</v>
      </c>
      <c r="M35">
        <f>$C35*INDEX(Final!O:O,MATCH(Полуфабрикат!$B35,Final!$B:$B,0))/INDEX(Final!$T:$T,MATCH(Полуфабрикат!$B35,Final!$B:$B,0))</f>
        <v>2.9325769146847043E-2</v>
      </c>
      <c r="N35">
        <f>$C35*INDEX(Final!P:P,MATCH(Полуфабрикат!$B35,Final!$B:$B,0))/INDEX(Final!$T:$T,MATCH(Полуфабрикат!$B35,Final!$B:$B,0))</f>
        <v>4.6083351516473928E-2</v>
      </c>
      <c r="O35">
        <f>$C35*INDEX(Final!Q:Q,MATCH(Полуфабрикат!$B35,Final!$B:$B,0))/INDEX(Final!$T:$T,MATCH(Полуфабрикат!$B35,Final!$B:$B,0))</f>
        <v>0.10752782020510583</v>
      </c>
      <c r="P35">
        <f>$C35*INDEX(Final!R:R,MATCH(Полуфабрикат!$B35,Final!$B:$B,0))/INDEX(Final!$T:$T,MATCH(Полуфабрикат!$B35,Final!$B:$B,0))</f>
        <v>0.40553349334497052</v>
      </c>
      <c r="Q35" t="b">
        <f t="shared" si="2"/>
        <v>0</v>
      </c>
      <c r="R35">
        <f>INDEX(Final!$BJ:$BJ,MATCH(Полуфабрикат!$B35,Final!$B:$B,0))/INDEX(Final!$AX:$AX,MATCH(Полуфабрикат!$B35,Final!$B:$B,0))</f>
        <v>0.76335238755124435</v>
      </c>
      <c r="S35">
        <f>INDEX(Final!$BE:$BE,MATCH(Полуфабрикат!$B35,Final!$B:$B,0))/INDEX(Final!$AX:$AX,MATCH(Полуфабрикат!$B35,Final!$B:$B,0))</f>
        <v>4.502280732143888E-2</v>
      </c>
      <c r="T35">
        <f>INDEX(Final!$AY:$AY,MATCH(Полуфабрикат!$B35,Final!$B:$B,0))/INDEX(Final!$AX:$AX,MATCH(Полуфабрикат!$B35,Final!$B:$B,0))</f>
        <v>0.14929374796770203</v>
      </c>
      <c r="U35">
        <f>INDEX(Final!$BL:$BL,MATCH(Полуфабрикат!$B35,Final!$B:$B,0))/INDEX(Final!$AX:$AX,MATCH(Полуфабрикат!$B35,Final!$B:$B,0))</f>
        <v>4.233181689717104E-2</v>
      </c>
      <c r="V35" t="b">
        <f t="shared" si="3"/>
        <v>1</v>
      </c>
      <c r="W35">
        <f t="shared" si="4"/>
        <v>0.7633518076042074</v>
      </c>
      <c r="X35">
        <f t="shared" si="5"/>
        <v>4.5022773115947247E-2</v>
      </c>
      <c r="Y35">
        <f t="shared" si="6"/>
        <v>0.14929363454372094</v>
      </c>
      <c r="Z35">
        <f t="shared" si="7"/>
        <v>4.2331784736124346E-2</v>
      </c>
    </row>
    <row r="36" spans="1:26" x14ac:dyDescent="0.25">
      <c r="A36" t="s">
        <v>277</v>
      </c>
      <c r="B36" t="s">
        <v>10</v>
      </c>
      <c r="C36">
        <f>INDEX(Final!$E:$E, MATCH(Полуфабрикат!$B36,Final!$B:$B,0))</f>
        <v>4.26</v>
      </c>
      <c r="D36" t="b">
        <f t="shared" si="1"/>
        <v>1</v>
      </c>
      <c r="E36">
        <f>$C36*INDEX(Final!F:F,MATCH(Полуфабрикат!$B36,Final!$B:$B,0))/INDEX(Final!$T:$T,MATCH(Полуфабрикат!$B36,Final!$B:$B,0))</f>
        <v>1.244687291972276E-3</v>
      </c>
      <c r="F36">
        <f>$C36*INDEX(Final!G:G,MATCH(Полуфабрикат!$B36,Final!$B:$B,0))/INDEX(Final!$T:$T,MATCH(Полуфабрикат!$B36,Final!$B:$B,0))</f>
        <v>2.0376942470638912E-2</v>
      </c>
      <c r="G36">
        <f>$C36*INDEX(Final!H:H,MATCH(Полуфабрикат!$B36,Final!$B:$B,0))/INDEX(Final!$T:$T,MATCH(Полуфабрикат!$B36,Final!$B:$B,0))</f>
        <v>0.29603026624536505</v>
      </c>
      <c r="H36">
        <f>$C36*INDEX(Final!I:I,MATCH(Полуфабрикат!$B36,Final!$B:$B,0))/INDEX(Final!$T:$T,MATCH(Полуфабрикат!$B36,Final!$B:$B,0))</f>
        <v>0.47396922168639133</v>
      </c>
      <c r="I36">
        <f>$C36*INDEX(Final!J:J,MATCH(Полуфабрикат!$B36,Final!$B:$B,0))/INDEX(Final!$T:$T,MATCH(Полуфабрикат!$B36,Final!$B:$B,0))</f>
        <v>0.61941798925861558</v>
      </c>
      <c r="J36">
        <f>$C36*INDEX(Final!K:K,MATCH(Полуфабрикат!$B36,Final!$B:$B,0))/INDEX(Final!$T:$T,MATCH(Полуфабрикат!$B36,Final!$B:$B,0))</f>
        <v>0.56227786027766147</v>
      </c>
      <c r="K36">
        <f>$C36*INDEX(Final!M:M,MATCH(Полуфабрикат!$B36,Final!$B:$B,0))/INDEX(Final!$T:$T,MATCH(Полуфабрикат!$B36,Final!$B:$B,0))</f>
        <v>9.2389159816498839E-4</v>
      </c>
      <c r="L36">
        <f>$C36*INDEX(Final!N:N,MATCH(Полуфабрикат!$B36,Final!$B:$B,0))/INDEX(Final!$T:$T,MATCH(Полуфабрикат!$B36,Final!$B:$B,0))</f>
        <v>2.572781464334447E-2</v>
      </c>
      <c r="M36">
        <f>$C36*INDEX(Final!O:O,MATCH(Полуфабрикат!$B36,Final!$B:$B,0))/INDEX(Final!$T:$T,MATCH(Полуфабрикат!$B36,Final!$B:$B,0))</f>
        <v>0.28867762894330201</v>
      </c>
      <c r="N36">
        <f>$C36*INDEX(Final!P:P,MATCH(Полуфабрикат!$B36,Final!$B:$B,0))/INDEX(Final!$T:$T,MATCH(Полуфабрикат!$B36,Final!$B:$B,0))</f>
        <v>0.43807859946323202</v>
      </c>
      <c r="O36">
        <f>$C36*INDEX(Final!Q:Q,MATCH(Полуфабрикат!$B36,Final!$B:$B,0))/INDEX(Final!$T:$T,MATCH(Полуфабрикат!$B36,Final!$B:$B,0))</f>
        <v>0.63849891712627305</v>
      </c>
      <c r="P36">
        <f>$C36*INDEX(Final!R:R,MATCH(Полуфабрикат!$B36,Final!$B:$B,0))/INDEX(Final!$T:$T,MATCH(Полуфабрикат!$B36,Final!$B:$B,0))</f>
        <v>0.89473768551178212</v>
      </c>
      <c r="Q36" t="b">
        <f t="shared" si="2"/>
        <v>0</v>
      </c>
      <c r="R36">
        <f>INDEX(Final!$BJ:$BJ,MATCH(Полуфабрикат!$B36,Final!$B:$B,0))/INDEX(Final!$AX:$AX,MATCH(Полуфабрикат!$B36,Final!$B:$B,0))</f>
        <v>7.9074751181532371E-2</v>
      </c>
      <c r="S36">
        <f>INDEX(Final!$BE:$BE,MATCH(Полуфабрикат!$B36,Final!$B:$B,0))/INDEX(Final!$AX:$AX,MATCH(Полуфабрикат!$B36,Final!$B:$B,0))</f>
        <v>0.11498364842033001</v>
      </c>
      <c r="T36">
        <f>INDEX(Final!$AY:$AY,MATCH(Полуфабрикат!$B36,Final!$B:$B,0))/INDEX(Final!$AX:$AX,MATCH(Полуфабрикат!$B36,Final!$B:$B,0))</f>
        <v>0.30032682101285035</v>
      </c>
      <c r="U36">
        <f>INDEX(Final!$BL:$BL,MATCH(Полуфабрикат!$B36,Final!$B:$B,0))/INDEX(Final!$AX:$AX,MATCH(Полуфабрикат!$B36,Final!$B:$B,0))</f>
        <v>0.50561513035286987</v>
      </c>
      <c r="V36" t="b">
        <f t="shared" si="3"/>
        <v>1</v>
      </c>
      <c r="W36">
        <f t="shared" si="4"/>
        <v>7.9074723428867844E-2</v>
      </c>
      <c r="X36">
        <f t="shared" si="5"/>
        <v>0.11498360806481106</v>
      </c>
      <c r="Y36">
        <f t="shared" si="6"/>
        <v>0.30032671560790902</v>
      </c>
      <c r="Z36">
        <f t="shared" si="7"/>
        <v>0.50561495289841218</v>
      </c>
    </row>
    <row r="37" spans="1:26" x14ac:dyDescent="0.25">
      <c r="A37" t="s">
        <v>278</v>
      </c>
      <c r="B37" t="s">
        <v>5</v>
      </c>
      <c r="C37">
        <f>INDEX(Final!$E:$E, MATCH(Полуфабрикат!$B37,Final!$B:$B,0))</f>
        <v>1.03</v>
      </c>
      <c r="D37" t="b">
        <f t="shared" si="1"/>
        <v>1</v>
      </c>
      <c r="E37">
        <f>$C37*INDEX(Final!F:F,MATCH(Полуфабрикат!$B37,Final!$B:$B,0))/INDEX(Final!$T:$T,MATCH(Полуфабрикат!$B37,Final!$B:$B,0))</f>
        <v>0</v>
      </c>
      <c r="F37">
        <f>$C37*INDEX(Final!G:G,MATCH(Полуфабрикат!$B37,Final!$B:$B,0))/INDEX(Final!$T:$T,MATCH(Полуфабрикат!$B37,Final!$B:$B,0))</f>
        <v>6.0410557184750737E-3</v>
      </c>
      <c r="G37">
        <f>$C37*INDEX(Final!H:H,MATCH(Полуфабрикат!$B37,Final!$B:$B,0))/INDEX(Final!$T:$T,MATCH(Полуфабрикат!$B37,Final!$B:$B,0))</f>
        <v>0.12988269794721408</v>
      </c>
      <c r="H37">
        <f>$C37*INDEX(Final!I:I,MATCH(Полуфабрикат!$B37,Final!$B:$B,0))/INDEX(Final!$T:$T,MATCH(Полуфабрикат!$B37,Final!$B:$B,0))</f>
        <v>0.16612903225806452</v>
      </c>
      <c r="I37">
        <f>$C37*INDEX(Final!J:J,MATCH(Полуфабрикат!$B37,Final!$B:$B,0))/INDEX(Final!$T:$T,MATCH(Полуфабрикат!$B37,Final!$B:$B,0))</f>
        <v>0.18626588465298144</v>
      </c>
      <c r="J37">
        <f>$C37*INDEX(Final!K:K,MATCH(Полуфабрикат!$B37,Final!$B:$B,0))/INDEX(Final!$T:$T,MATCH(Полуфабрикат!$B37,Final!$B:$B,0))</f>
        <v>0.2124437927663734</v>
      </c>
      <c r="K37">
        <f>$C37*INDEX(Final!M:M,MATCH(Полуфабрикат!$B37,Final!$B:$B,0))/INDEX(Final!$T:$T,MATCH(Полуфабрикат!$B37,Final!$B:$B,0))</f>
        <v>0</v>
      </c>
      <c r="L37">
        <f>$C37*INDEX(Final!N:N,MATCH(Полуфабрикат!$B37,Final!$B:$B,0))/INDEX(Final!$T:$T,MATCH(Полуфабрикат!$B37,Final!$B:$B,0))</f>
        <v>2.0136852394916911E-3</v>
      </c>
      <c r="M37">
        <f>$C37*INDEX(Final!O:O,MATCH(Полуфабрикат!$B37,Final!$B:$B,0))/INDEX(Final!$T:$T,MATCH(Полуфабрикат!$B37,Final!$B:$B,0))</f>
        <v>3.2218963831867058E-2</v>
      </c>
      <c r="N37">
        <f>$C37*INDEX(Final!P:P,MATCH(Полуфабрикат!$B37,Final!$B:$B,0))/INDEX(Final!$T:$T,MATCH(Полуфабрикат!$B37,Final!$B:$B,0))</f>
        <v>4.6314760508308898E-2</v>
      </c>
      <c r="O37">
        <f>$C37*INDEX(Final!Q:Q,MATCH(Полуфабрикат!$B37,Final!$B:$B,0))/INDEX(Final!$T:$T,MATCH(Полуфабрикат!$B37,Final!$B:$B,0))</f>
        <v>6.8465298142717498E-2</v>
      </c>
      <c r="P37">
        <f>$C37*INDEX(Final!R:R,MATCH(Полуфабрикат!$B37,Final!$B:$B,0))/INDEX(Final!$T:$T,MATCH(Полуфабрикат!$B37,Final!$B:$B,0))</f>
        <v>0.18022482893450636</v>
      </c>
      <c r="Q37" t="b">
        <f t="shared" si="2"/>
        <v>0</v>
      </c>
      <c r="R37">
        <f>INDEX(Final!$BJ:$BJ,MATCH(Полуфабрикат!$B37,Final!$B:$B,0))/INDEX(Final!$AX:$AX,MATCH(Полуфабрикат!$B37,Final!$B:$B,0))</f>
        <v>0.82931291185578782</v>
      </c>
      <c r="S37">
        <f>INDEX(Final!$BE:$BE,MATCH(Полуфабрикат!$B37,Final!$B:$B,0))/INDEX(Final!$AX:$AX,MATCH(Полуфабрикат!$B37,Final!$B:$B,0))</f>
        <v>4.4798006505784763E-2</v>
      </c>
      <c r="T37">
        <f>INDEX(Final!$AY:$AY,MATCH(Полуфабрикат!$B37,Final!$B:$B,0))/INDEX(Final!$AX:$AX,MATCH(Полуфабрикат!$B37,Final!$B:$B,0))</f>
        <v>6.7970230278242311E-2</v>
      </c>
      <c r="U37">
        <f>INDEX(Final!$BL:$BL,MATCH(Полуфабрикат!$B37,Final!$B:$B,0))/INDEX(Final!$AX:$AX,MATCH(Полуфабрикат!$B37,Final!$B:$B,0))</f>
        <v>5.7919827032765034E-2</v>
      </c>
      <c r="V37" t="b">
        <f t="shared" si="3"/>
        <v>1</v>
      </c>
      <c r="W37">
        <f t="shared" si="4"/>
        <v>0.82931210271870892</v>
      </c>
      <c r="X37">
        <f t="shared" si="5"/>
        <v>4.4797962797640818E-2</v>
      </c>
      <c r="Y37">
        <f t="shared" si="6"/>
        <v>6.7970163961617078E-2</v>
      </c>
      <c r="Z37">
        <f t="shared" si="7"/>
        <v>5.7919770522033093E-2</v>
      </c>
    </row>
    <row r="38" spans="1:26" x14ac:dyDescent="0.25">
      <c r="A38" t="s">
        <v>279</v>
      </c>
      <c r="B38" t="s">
        <v>12</v>
      </c>
      <c r="C38">
        <f>INDEX(Final!$E:$E, MATCH(Полуфабрикат!$B38,Final!$B:$B,0))</f>
        <v>3.4</v>
      </c>
      <c r="D38" t="b">
        <f t="shared" si="1"/>
        <v>1</v>
      </c>
      <c r="E38">
        <f>$C38*INDEX(Final!F:F,MATCH(Полуфабрикат!$B38,Final!$B:$B,0))/INDEX(Final!$T:$T,MATCH(Полуфабрикат!$B38,Final!$B:$B,0))</f>
        <v>1.019847022946558E-3</v>
      </c>
      <c r="F38">
        <f>$C38*INDEX(Final!G:G,MATCH(Полуфабрикат!$B38,Final!$B:$B,0))/INDEX(Final!$T:$T,MATCH(Полуфабрикат!$B38,Final!$B:$B,0))</f>
        <v>5.949107633854922E-3</v>
      </c>
      <c r="G38">
        <f>$C38*INDEX(Final!H:H,MATCH(Полуфабрикат!$B38,Final!$B:$B,0))/INDEX(Final!$T:$T,MATCH(Полуфабрикат!$B38,Final!$B:$B,0))</f>
        <v>0.20702894565815128</v>
      </c>
      <c r="H38">
        <f>$C38*INDEX(Final!I:I,MATCH(Полуфабрикат!$B38,Final!$B:$B,0))/INDEX(Final!$T:$T,MATCH(Полуфабрикат!$B38,Final!$B:$B,0))</f>
        <v>0.46912963055541668</v>
      </c>
      <c r="I38">
        <f>$C38*INDEX(Final!J:J,MATCH(Полуфабрикат!$B38,Final!$B:$B,0))/INDEX(Final!$T:$T,MATCH(Полуфабрикат!$B38,Final!$B:$B,0))</f>
        <v>0.76692496125581167</v>
      </c>
      <c r="J38">
        <f>$C38*INDEX(Final!K:K,MATCH(Полуфабрикат!$B38,Final!$B:$B,0))/INDEX(Final!$T:$T,MATCH(Полуфабрикат!$B38,Final!$B:$B,0))</f>
        <v>0.91412288156776489</v>
      </c>
      <c r="K38">
        <f>$C38*INDEX(Final!M:M,MATCH(Полуфабрикат!$B38,Final!$B:$B,0))/INDEX(Final!$T:$T,MATCH(Полуфабрикат!$B38,Final!$B:$B,0))</f>
        <v>6.7989801529770534E-4</v>
      </c>
      <c r="L38">
        <f>$C38*INDEX(Final!N:N,MATCH(Полуфабрикат!$B38,Final!$B:$B,0))/INDEX(Final!$T:$T,MATCH(Полуфабрикат!$B38,Final!$B:$B,0))</f>
        <v>2.8895665650152478E-3</v>
      </c>
      <c r="M38">
        <f>$C38*INDEX(Final!O:O,MATCH(Полуфабрикат!$B38,Final!$B:$B,0))/INDEX(Final!$T:$T,MATCH(Полуфабрикат!$B38,Final!$B:$B,0))</f>
        <v>5.9661050842373643E-2</v>
      </c>
      <c r="N38">
        <f>$C38*INDEX(Final!P:P,MATCH(Полуфабрикат!$B38,Final!$B:$B,0))/INDEX(Final!$T:$T,MATCH(Полуфабрикат!$B38,Final!$B:$B,0))</f>
        <v>0.12935059741038843</v>
      </c>
      <c r="O38">
        <f>$C38*INDEX(Final!Q:Q,MATCH(Полуфабрикат!$B38,Final!$B:$B,0))/INDEX(Final!$T:$T,MATCH(Полуфабрикат!$B38,Final!$B:$B,0))</f>
        <v>0.23201519772034196</v>
      </c>
      <c r="P38">
        <f>$C38*INDEX(Final!R:R,MATCH(Полуфабрикат!$B38,Final!$B:$B,0))/INDEX(Final!$T:$T,MATCH(Полуфабрикат!$B38,Final!$B:$B,0))</f>
        <v>0.61156826476028592</v>
      </c>
      <c r="Q38" t="b">
        <f t="shared" si="2"/>
        <v>0</v>
      </c>
      <c r="R38">
        <f>INDEX(Final!$BJ:$BJ,MATCH(Полуфабрикат!$B38,Final!$B:$B,0))/INDEX(Final!$AX:$AX,MATCH(Полуфабрикат!$B38,Final!$B:$B,0))</f>
        <v>5.4094034310680557E-2</v>
      </c>
      <c r="S38">
        <f>INDEX(Final!$BE:$BE,MATCH(Полуфабрикат!$B38,Final!$B:$B,0))/INDEX(Final!$AX:$AX,MATCH(Полуфабрикат!$B38,Final!$B:$B,0))</f>
        <v>0.16681468575790448</v>
      </c>
      <c r="T38">
        <f>INDEX(Final!$AY:$AY,MATCH(Полуфабрикат!$B38,Final!$B:$B,0))/INDEX(Final!$AX:$AX,MATCH(Полуфабрикат!$B38,Final!$B:$B,0))</f>
        <v>0.35857950639154201</v>
      </c>
      <c r="U38">
        <f>INDEX(Final!$BL:$BL,MATCH(Полуфабрикат!$B38,Final!$B:$B,0))/INDEX(Final!$AX:$AX,MATCH(Полуфабрикат!$B38,Final!$B:$B,0))</f>
        <v>0.42051137864678828</v>
      </c>
      <c r="V38" t="b">
        <f t="shared" si="3"/>
        <v>1</v>
      </c>
      <c r="W38">
        <f t="shared" si="4"/>
        <v>5.4094055672049064E-2</v>
      </c>
      <c r="X38">
        <f t="shared" si="5"/>
        <v>0.16681475163189632</v>
      </c>
      <c r="Y38">
        <f t="shared" si="6"/>
        <v>0.3585796479921653</v>
      </c>
      <c r="Z38">
        <f t="shared" si="7"/>
        <v>0.4205115447038893</v>
      </c>
    </row>
    <row r="39" spans="1:26" x14ac:dyDescent="0.25">
      <c r="A39" t="s">
        <v>280</v>
      </c>
      <c r="B39" t="s">
        <v>47</v>
      </c>
      <c r="C39">
        <f>INDEX(Final!$E:$E, MATCH(Полуфабрикат!$B39,Final!$B:$B,0))</f>
        <v>0.23</v>
      </c>
      <c r="D39" t="b">
        <f t="shared" si="1"/>
        <v>1</v>
      </c>
      <c r="E39">
        <f>$C39*INDEX(Final!F:F,MATCH(Полуфабрикат!$B39,Final!$B:$B,0))/INDEX(Final!$T:$T,MATCH(Полуфабрикат!$B39,Final!$B:$B,0))</f>
        <v>5.1339285714285712E-4</v>
      </c>
      <c r="F39">
        <f>$C39*INDEX(Final!G:G,MATCH(Полуфабрикат!$B39,Final!$B:$B,0))/INDEX(Final!$T:$T,MATCH(Полуфабрикат!$B39,Final!$B:$B,0))</f>
        <v>4.1071428571428569E-3</v>
      </c>
      <c r="G39">
        <f>$C39*INDEX(Final!H:H,MATCH(Полуфабрикат!$B39,Final!$B:$B,0))/INDEX(Final!$T:$T,MATCH(Полуфабрикат!$B39,Final!$B:$B,0))</f>
        <v>1.8482142857142857E-2</v>
      </c>
      <c r="H39">
        <f>$C39*INDEX(Final!I:I,MATCH(Полуфабрикат!$B39,Final!$B:$B,0))/INDEX(Final!$T:$T,MATCH(Полуфабрикат!$B39,Final!$B:$B,0))</f>
        <v>2.1562499999999998E-2</v>
      </c>
      <c r="I39">
        <f>$C39*INDEX(Final!J:J,MATCH(Полуфабрикат!$B39,Final!$B:$B,0))/INDEX(Final!$T:$T,MATCH(Полуфабрикат!$B39,Final!$B:$B,0))</f>
        <v>2.9263392857142856E-2</v>
      </c>
      <c r="J39">
        <f>$C39*INDEX(Final!K:K,MATCH(Полуфабрикат!$B39,Final!$B:$B,0))/INDEX(Final!$T:$T,MATCH(Полуфабрикат!$B39,Final!$B:$B,0))</f>
        <v>3.6450892857142855E-2</v>
      </c>
      <c r="K39">
        <f>$C39*INDEX(Final!M:M,MATCH(Полуфабрикат!$B39,Final!$B:$B,0))/INDEX(Final!$T:$T,MATCH(Полуфабрикат!$B39,Final!$B:$B,0))</f>
        <v>5.1339285714285712E-4</v>
      </c>
      <c r="L39">
        <f>$C39*INDEX(Final!N:N,MATCH(Полуфабрикат!$B39,Final!$B:$B,0))/INDEX(Final!$T:$T,MATCH(Полуфабрикат!$B39,Final!$B:$B,0))</f>
        <v>5.6473214285714286E-3</v>
      </c>
      <c r="M39">
        <f>$C39*INDEX(Final!O:O,MATCH(Полуфабрикат!$B39,Final!$B:$B,0))/INDEX(Final!$T:$T,MATCH(Полуфабрикат!$B39,Final!$B:$B,0))</f>
        <v>1.3861607142857143E-2</v>
      </c>
      <c r="N39">
        <f>$C39*INDEX(Final!P:P,MATCH(Полуфабрикат!$B39,Final!$B:$B,0))/INDEX(Final!$T:$T,MATCH(Полуфабрикат!$B39,Final!$B:$B,0))</f>
        <v>1.2834821428571428E-2</v>
      </c>
      <c r="O39">
        <f>$C39*INDEX(Final!Q:Q,MATCH(Полуфабрикат!$B39,Final!$B:$B,0))/INDEX(Final!$T:$T,MATCH(Полуфабрикат!$B39,Final!$B:$B,0))</f>
        <v>2.5156250000000002E-2</v>
      </c>
      <c r="P39">
        <f>$C39*INDEX(Final!R:R,MATCH(Полуфабрикат!$B39,Final!$B:$B,0))/INDEX(Final!$T:$T,MATCH(Полуфабрикат!$B39,Final!$B:$B,0))</f>
        <v>6.2120535714285711E-2</v>
      </c>
      <c r="Q39" t="b">
        <f t="shared" si="2"/>
        <v>1</v>
      </c>
      <c r="R39">
        <f>INDEX(Final!$BJ:$BJ,MATCH(Полуфабрикат!$B39,Final!$B:$B,0))/INDEX(Final!$AX:$AX,MATCH(Полуфабрикат!$B39,Final!$B:$B,0))</f>
        <v>0.75743928076982237</v>
      </c>
      <c r="S39">
        <f>INDEX(Final!$BE:$BE,MATCH(Полуфабрикат!$B39,Final!$B:$B,0))/INDEX(Final!$AX:$AX,MATCH(Полуфабрикат!$B39,Final!$B:$B,0))</f>
        <v>6.9701061411455045E-2</v>
      </c>
      <c r="T39">
        <f>INDEX(Final!$AY:$AY,MATCH(Полуфабрикат!$B39,Final!$B:$B,0))/INDEX(Final!$AX:$AX,MATCH(Полуфабрикат!$B39,Final!$B:$B,0))</f>
        <v>0.11566137385270138</v>
      </c>
      <c r="U39">
        <f>INDEX(Final!$BL:$BL,MATCH(Полуфабрикат!$B39,Final!$B:$B,0))/INDEX(Final!$AX:$AX,MATCH(Полуфабрикат!$B39,Final!$B:$B,0))</f>
        <v>5.7198283966021161E-2</v>
      </c>
      <c r="V39" t="b">
        <f t="shared" si="3"/>
        <v>1</v>
      </c>
      <c r="W39">
        <f t="shared" si="4"/>
        <v>0.75743928076982248</v>
      </c>
      <c r="X39">
        <f t="shared" si="5"/>
        <v>6.9701061411455059E-2</v>
      </c>
      <c r="Y39">
        <f t="shared" si="6"/>
        <v>0.11566137385270139</v>
      </c>
      <c r="Z39">
        <f t="shared" si="7"/>
        <v>5.7198283966021168E-2</v>
      </c>
    </row>
    <row r="40" spans="1:26" x14ac:dyDescent="0.25">
      <c r="A40" t="s">
        <v>281</v>
      </c>
      <c r="B40" t="s">
        <v>26</v>
      </c>
      <c r="C40">
        <f>INDEX(Final!$E:$E, MATCH(Полуфабрикат!$B40,Final!$B:$B,0))</f>
        <v>2.65</v>
      </c>
      <c r="D40" t="b">
        <f t="shared" si="1"/>
        <v>1</v>
      </c>
      <c r="E40">
        <f>$C40*INDEX(Final!F:F,MATCH(Полуфабрикат!$B40,Final!$B:$B,0))/INDEX(Final!$T:$T,MATCH(Полуфабрикат!$B40,Final!$B:$B,0))</f>
        <v>6.0043207924965749E-3</v>
      </c>
      <c r="F40">
        <f>$C40*INDEX(Final!G:G,MATCH(Полуфабрикат!$B40,Final!$B:$B,0))/INDEX(Final!$T:$T,MATCH(Полуфабрикат!$B40,Final!$B:$B,0))</f>
        <v>2.2620929497312679E-2</v>
      </c>
      <c r="G40">
        <f>$C40*INDEX(Final!H:H,MATCH(Полуфабрикат!$B40,Final!$B:$B,0))/INDEX(Final!$T:$T,MATCH(Полуфабрикат!$B40,Final!$B:$B,0))</f>
        <v>8.7830646011170826E-2</v>
      </c>
      <c r="H40">
        <f>$C40*INDEX(Final!I:I,MATCH(Полуфабрикат!$B40,Final!$B:$B,0))/INDEX(Final!$T:$T,MATCH(Полуфабрикат!$B40,Final!$B:$B,0))</f>
        <v>0.16867952365897354</v>
      </c>
      <c r="I40">
        <f>$C40*INDEX(Final!J:J,MATCH(Полуфабрикат!$B40,Final!$B:$B,0))/INDEX(Final!$T:$T,MATCH(Полуфабрикат!$B40,Final!$B:$B,0))</f>
        <v>0.3817630941089683</v>
      </c>
      <c r="J40">
        <f>$C40*INDEX(Final!K:K,MATCH(Полуфабрикат!$B40,Final!$B:$B,0))/INDEX(Final!$T:$T,MATCH(Полуфабрикат!$B40,Final!$B:$B,0))</f>
        <v>0.78642638844978396</v>
      </c>
      <c r="K40">
        <f>$C40*INDEX(Final!M:M,MATCH(Полуфабрикат!$B40,Final!$B:$B,0))/INDEX(Final!$T:$T,MATCH(Полуфабрикат!$B40,Final!$B:$B,0))</f>
        <v>4.8872378543576775E-3</v>
      </c>
      <c r="L40">
        <f>$C40*INDEX(Final!N:N,MATCH(Полуфабрикат!$B40,Final!$B:$B,0))/INDEX(Final!$T:$T,MATCH(Полуфабрикат!$B40,Final!$B:$B,0))</f>
        <v>2.080566972283697E-2</v>
      </c>
      <c r="M40">
        <f>$C40*INDEX(Final!O:O,MATCH(Полуфабрикат!$B40,Final!$B:$B,0))/INDEX(Final!$T:$T,MATCH(Полуфабрикат!$B40,Final!$B:$B,0))</f>
        <v>5.2921804194330277E-2</v>
      </c>
      <c r="N40">
        <f>$C40*INDEX(Final!P:P,MATCH(Полуфабрикат!$B40,Final!$B:$B,0))/INDEX(Final!$T:$T,MATCH(Полуфабрикат!$B40,Final!$B:$B,0))</f>
        <v>7.7497628833386026E-2</v>
      </c>
      <c r="O40">
        <f>$C40*INDEX(Final!Q:Q,MATCH(Полуфабрикат!$B40,Final!$B:$B,0))/INDEX(Final!$T:$T,MATCH(Полуфабрикат!$B40,Final!$B:$B,0))</f>
        <v>0.20065602276319949</v>
      </c>
      <c r="P40">
        <f>$C40*INDEX(Final!R:R,MATCH(Полуфабрикат!$B40,Final!$B:$B,0))/INDEX(Final!$T:$T,MATCH(Полуфабрикат!$B40,Final!$B:$B,0))</f>
        <v>0.83990673411318373</v>
      </c>
      <c r="Q40" t="b">
        <f t="shared" si="2"/>
        <v>0</v>
      </c>
      <c r="R40">
        <f>INDEX(Final!$BJ:$BJ,MATCH(Полуфабрикат!$B40,Final!$B:$B,0))/INDEX(Final!$AX:$AX,MATCH(Полуфабрикат!$B40,Final!$B:$B,0))</f>
        <v>8.7083670873336294E-2</v>
      </c>
      <c r="S40">
        <f>INDEX(Final!$BE:$BE,MATCH(Полуфабрикат!$B40,Final!$B:$B,0))/INDEX(Final!$AX:$AX,MATCH(Полуфабрикат!$B40,Final!$B:$B,0))</f>
        <v>0.83478166180224089</v>
      </c>
      <c r="T40">
        <f>INDEX(Final!$AY:$AY,MATCH(Полуфабрикат!$B40,Final!$B:$B,0))/INDEX(Final!$AX:$AX,MATCH(Полуфабрикат!$B40,Final!$B:$B,0))</f>
        <v>3.7606768508878882E-2</v>
      </c>
      <c r="U40">
        <f>INDEX(Final!$BL:$BL,MATCH(Полуфабрикат!$B40,Final!$B:$B,0))/INDEX(Final!$AX:$AX,MATCH(Полуфабрикат!$B40,Final!$B:$B,0))</f>
        <v>4.052707387052653E-2</v>
      </c>
      <c r="V40" t="b">
        <f t="shared" si="3"/>
        <v>1</v>
      </c>
      <c r="W40">
        <f t="shared" si="4"/>
        <v>8.7083742712635928E-2</v>
      </c>
      <c r="X40">
        <f t="shared" si="5"/>
        <v>0.8347823504517814</v>
      </c>
      <c r="Y40">
        <f t="shared" si="6"/>
        <v>3.760679953242077E-2</v>
      </c>
      <c r="Z40">
        <f t="shared" si="7"/>
        <v>4.0527107303161766E-2</v>
      </c>
    </row>
    <row r="41" spans="1:26" x14ac:dyDescent="0.25">
      <c r="A41" t="s">
        <v>282</v>
      </c>
      <c r="B41" t="s">
        <v>6</v>
      </c>
      <c r="C41">
        <f>INDEX(Final!$E:$E, MATCH(Полуфабрикат!$B41,Final!$B:$B,0))</f>
        <v>1.59</v>
      </c>
      <c r="D41" t="b">
        <f t="shared" si="1"/>
        <v>1</v>
      </c>
      <c r="E41">
        <f>$C41*INDEX(Final!F:F,MATCH(Полуфабрикат!$B41,Final!$B:$B,0))/INDEX(Final!$T:$T,MATCH(Полуфабрикат!$B41,Final!$B:$B,0))</f>
        <v>8.1580297588506928E-4</v>
      </c>
      <c r="F41">
        <f>$C41*INDEX(Final!G:G,MATCH(Полуфабрикат!$B41,Final!$B:$B,0))/INDEX(Final!$T:$T,MATCH(Полуфабрикат!$B41,Final!$B:$B,0))</f>
        <v>2.4474089276552077E-3</v>
      </c>
      <c r="G41">
        <f>$C41*INDEX(Final!H:H,MATCH(Полуфабрикат!$B41,Final!$B:$B,0))/INDEX(Final!$T:$T,MATCH(Полуфабрикат!$B41,Final!$B:$B,0))</f>
        <v>3.0184710107747564E-2</v>
      </c>
      <c r="H41">
        <f>$C41*INDEX(Final!I:I,MATCH(Полуфабрикат!$B41,Final!$B:$B,0))/INDEX(Final!$T:$T,MATCH(Полуфабрикат!$B41,Final!$B:$B,0))</f>
        <v>6.7711646998460745E-2</v>
      </c>
      <c r="I41">
        <f>$C41*INDEX(Final!J:J,MATCH(Полуфабрикат!$B41,Final!$B:$B,0))/INDEX(Final!$T:$T,MATCH(Полуфабрикат!$B41,Final!$B:$B,0))</f>
        <v>0.15989738327347358</v>
      </c>
      <c r="J41">
        <f>$C41*INDEX(Final!K:K,MATCH(Полуфабрикат!$B41,Final!$B:$B,0))/INDEX(Final!$T:$T,MATCH(Полуфабрикат!$B41,Final!$B:$B,0))</f>
        <v>0.52945613134940994</v>
      </c>
      <c r="K41">
        <f>$C41*INDEX(Final!M:M,MATCH(Полуфабрикат!$B41,Final!$B:$B,0))/INDEX(Final!$T:$T,MATCH(Полуфабрикат!$B41,Final!$B:$B,0))</f>
        <v>8.1580297588506928E-4</v>
      </c>
      <c r="L41">
        <f>$C41*INDEX(Final!N:N,MATCH(Полуфабрикат!$B41,Final!$B:$B,0))/INDEX(Final!$T:$T,MATCH(Полуфабрикат!$B41,Final!$B:$B,0))</f>
        <v>1.6316059517701386E-3</v>
      </c>
      <c r="M41">
        <f>$C41*INDEX(Final!O:O,MATCH(Полуфабрикат!$B41,Final!$B:$B,0))/INDEX(Final!$T:$T,MATCH(Полуфабрикат!$B41,Final!$B:$B,0))</f>
        <v>1.3868650590046178E-2</v>
      </c>
      <c r="N41">
        <f>$C41*INDEX(Final!P:P,MATCH(Полуфабрикат!$B41,Final!$B:$B,0))/INDEX(Final!$T:$T,MATCH(Полуфабрикат!$B41,Final!$B:$B,0))</f>
        <v>2.8553104155977425E-2</v>
      </c>
      <c r="O41">
        <f>$C41*INDEX(Final!Q:Q,MATCH(Полуфабрикат!$B41,Final!$B:$B,0))/INDEX(Final!$T:$T,MATCH(Полуфабрикат!$B41,Final!$B:$B,0))</f>
        <v>8.3211903540277063E-2</v>
      </c>
      <c r="P41">
        <f>$C41*INDEX(Final!R:R,MATCH(Полуфабрикат!$B41,Final!$B:$B,0))/INDEX(Final!$T:$T,MATCH(Полуфабрикат!$B41,Final!$B:$B,0))</f>
        <v>0.67140584915341206</v>
      </c>
      <c r="Q41" t="b">
        <f t="shared" si="2"/>
        <v>1</v>
      </c>
      <c r="R41">
        <f>INDEX(Final!$BJ:$BJ,MATCH(Полуфабрикат!$B41,Final!$B:$B,0))/INDEX(Final!$AX:$AX,MATCH(Полуфабрикат!$B41,Final!$B:$B,0))</f>
        <v>0.74156352957735316</v>
      </c>
      <c r="S41">
        <f>INDEX(Final!$BE:$BE,MATCH(Полуфабрикат!$B41,Final!$B:$B,0))/INDEX(Final!$AX:$AX,MATCH(Полуфабрикат!$B41,Final!$B:$B,0))</f>
        <v>3.7233889911491368E-2</v>
      </c>
      <c r="T41">
        <f>INDEX(Final!$AY:$AY,MATCH(Полуфабрикат!$B41,Final!$B:$B,0))/INDEX(Final!$AX:$AX,MATCH(Полуфабрикат!$B41,Final!$B:$B,0))</f>
        <v>0.21262843454364827</v>
      </c>
      <c r="U41">
        <f>INDEX(Final!$BL:$BL,MATCH(Полуфабрикат!$B41,Final!$B:$B,0))/INDEX(Final!$AX:$AX,MATCH(Полуфабрикат!$B41,Final!$B:$B,0))</f>
        <v>8.5741459675072046E-3</v>
      </c>
      <c r="V41" t="b">
        <f t="shared" si="3"/>
        <v>1</v>
      </c>
      <c r="W41">
        <f t="shared" si="4"/>
        <v>0.74156352957735328</v>
      </c>
      <c r="X41">
        <f t="shared" si="5"/>
        <v>3.7233889911491375E-2</v>
      </c>
      <c r="Y41">
        <f t="shared" si="6"/>
        <v>0.2126284345436483</v>
      </c>
      <c r="Z41">
        <f t="shared" si="7"/>
        <v>8.5741459675072063E-3</v>
      </c>
    </row>
    <row r="42" spans="1:26" x14ac:dyDescent="0.25">
      <c r="A42" t="s">
        <v>283</v>
      </c>
      <c r="B42" t="s">
        <v>14</v>
      </c>
      <c r="C42">
        <f>INDEX(Final!$E:$E, MATCH(Полуфабрикат!$B42,Final!$B:$B,0))</f>
        <v>1.5</v>
      </c>
      <c r="D42" t="b">
        <f t="shared" si="1"/>
        <v>1</v>
      </c>
      <c r="E42">
        <f>$C42*INDEX(Final!F:F,MATCH(Полуфабрикат!$B42,Final!$B:$B,0))/INDEX(Final!$T:$T,MATCH(Полуфабрикат!$B42,Final!$B:$B,0))</f>
        <v>3.2124827902707664E-3</v>
      </c>
      <c r="F42">
        <f>$C42*INDEX(Final!G:G,MATCH(Полуфабрикат!$B42,Final!$B:$B,0))/INDEX(Final!$T:$T,MATCH(Полуфабрикат!$B42,Final!$B:$B,0))</f>
        <v>5.2776502983019734E-3</v>
      </c>
      <c r="G42">
        <f>$C42*INDEX(Final!H:H,MATCH(Полуфабрикат!$B42,Final!$B:$B,0))/INDEX(Final!$T:$T,MATCH(Полуфабрикат!$B42,Final!$B:$B,0))</f>
        <v>4.5892611289582379E-2</v>
      </c>
      <c r="H42">
        <f>$C42*INDEX(Final!I:I,MATCH(Полуфабрикат!$B42,Final!$B:$B,0))/INDEX(Final!$T:$T,MATCH(Полуфабрикат!$B42,Final!$B:$B,0))</f>
        <v>9.2703074804956404E-2</v>
      </c>
      <c r="I42">
        <f>$C42*INDEX(Final!J:J,MATCH(Полуфабрикат!$B42,Final!$B:$B,0))/INDEX(Final!$T:$T,MATCH(Полуфабрикат!$B42,Final!$B:$B,0))</f>
        <v>0.18058742542450665</v>
      </c>
      <c r="J42">
        <f>$C42*INDEX(Final!K:K,MATCH(Полуфабрикат!$B42,Final!$B:$B,0))/INDEX(Final!$T:$T,MATCH(Полуфабрикат!$B42,Final!$B:$B,0))</f>
        <v>0.42519504359798072</v>
      </c>
      <c r="K42">
        <f>$C42*INDEX(Final!M:M,MATCH(Полуфабрикат!$B42,Final!$B:$B,0))/INDEX(Final!$T:$T,MATCH(Полуфабрикат!$B42,Final!$B:$B,0))</f>
        <v>2.9830197338228544E-3</v>
      </c>
      <c r="L42">
        <f>$C42*INDEX(Final!N:N,MATCH(Полуфабрикат!$B42,Final!$B:$B,0))/INDEX(Final!$T:$T,MATCH(Полуфабрикат!$B42,Final!$B:$B,0))</f>
        <v>3.9008719596145022E-3</v>
      </c>
      <c r="M42">
        <f>$C42*INDEX(Final!O:O,MATCH(Полуфабрикат!$B42,Final!$B:$B,0))/INDEX(Final!$T:$T,MATCH(Полуфабрикат!$B42,Final!$B:$B,0))</f>
        <v>2.2257916475447451E-2</v>
      </c>
      <c r="N42">
        <f>$C42*INDEX(Final!P:P,MATCH(Полуфабрикат!$B42,Final!$B:$B,0))/INDEX(Final!$T:$T,MATCH(Полуфабрикат!$B42,Final!$B:$B,0))</f>
        <v>4.1073887104176227E-2</v>
      </c>
      <c r="O42">
        <f>$C42*INDEX(Final!Q:Q,MATCH(Полуфабрикат!$B42,Final!$B:$B,0))/INDEX(Final!$T:$T,MATCH(Полуфабрикат!$B42,Final!$B:$B,0))</f>
        <v>9.7062872877466733E-2</v>
      </c>
      <c r="P42">
        <f>$C42*INDEX(Final!R:R,MATCH(Полуфабрикат!$B42,Final!$B:$B,0))/INDEX(Final!$T:$T,MATCH(Полуфабрикат!$B42,Final!$B:$B,0))</f>
        <v>0.57962368058742542</v>
      </c>
      <c r="Q42" t="b">
        <f t="shared" si="2"/>
        <v>1</v>
      </c>
      <c r="R42">
        <f>INDEX(Final!$BJ:$BJ,MATCH(Полуфабрикат!$B42,Final!$B:$B,0))/INDEX(Final!$AX:$AX,MATCH(Полуфабрикат!$B42,Final!$B:$B,0))</f>
        <v>0.3138383780264028</v>
      </c>
      <c r="S42">
        <f>INDEX(Final!$BE:$BE,MATCH(Полуфабрикат!$B42,Final!$B:$B,0))/INDEX(Final!$AX:$AX,MATCH(Полуфабрикат!$B42,Final!$B:$B,0))</f>
        <v>0.23508510872234087</v>
      </c>
      <c r="T42">
        <f>INDEX(Final!$AY:$AY,MATCH(Полуфабрикат!$B42,Final!$B:$B,0))/INDEX(Final!$AX:$AX,MATCH(Полуфабрикат!$B42,Final!$B:$B,0))</f>
        <v>0.30751739118793309</v>
      </c>
      <c r="U42">
        <f>INDEX(Final!$BL:$BL,MATCH(Полуфабрикат!$B42,Final!$B:$B,0))/INDEX(Final!$AX:$AX,MATCH(Полуфабрикат!$B42,Final!$B:$B,0))</f>
        <v>0.14355912206332325</v>
      </c>
      <c r="V42" t="b">
        <f t="shared" si="3"/>
        <v>1</v>
      </c>
      <c r="W42">
        <f t="shared" si="4"/>
        <v>0.3138383780264028</v>
      </c>
      <c r="X42">
        <f t="shared" si="5"/>
        <v>0.23508510872234087</v>
      </c>
      <c r="Y42">
        <f t="shared" si="6"/>
        <v>0.30751739118793309</v>
      </c>
      <c r="Z42">
        <f t="shared" si="7"/>
        <v>0.14355912206332325</v>
      </c>
    </row>
    <row r="43" spans="1:26" x14ac:dyDescent="0.25">
      <c r="A43" t="s">
        <v>284</v>
      </c>
      <c r="B43" t="s">
        <v>49</v>
      </c>
      <c r="C43">
        <f>INDEX(Final!$E:$E, MATCH(Полуфабрикат!$B43,Final!$B:$B,0))</f>
        <v>2.2400000000000002</v>
      </c>
      <c r="D43" t="b">
        <f t="shared" si="1"/>
        <v>1</v>
      </c>
      <c r="E43">
        <f>$C43*INDEX(Final!F:F,MATCH(Полуфабрикат!$B43,Final!$B:$B,0))/INDEX(Final!$T:$T,MATCH(Полуфабрикат!$B43,Final!$B:$B,0))</f>
        <v>1.1181364392678868E-2</v>
      </c>
      <c r="F43">
        <f>$C43*INDEX(Final!G:G,MATCH(Полуфабрикат!$B43,Final!$B:$B,0))/INDEX(Final!$T:$T,MATCH(Полуфабрикат!$B43,Final!$B:$B,0))</f>
        <v>2.3960066555740438E-2</v>
      </c>
      <c r="G43">
        <f>$C43*INDEX(Final!H:H,MATCH(Полуфабрикат!$B43,Final!$B:$B,0))/INDEX(Final!$T:$T,MATCH(Полуфабрикат!$B43,Final!$B:$B,0))</f>
        <v>0.12459234608985027</v>
      </c>
      <c r="H43">
        <f>$C43*INDEX(Final!I:I,MATCH(Полуфабрикат!$B43,Final!$B:$B,0))/INDEX(Final!$T:$T,MATCH(Полуфабрикат!$B43,Final!$B:$B,0))</f>
        <v>0.19833610648918473</v>
      </c>
      <c r="I43">
        <f>$C43*INDEX(Final!J:J,MATCH(Полуфабрикат!$B43,Final!$B:$B,0))/INDEX(Final!$T:$T,MATCH(Полуфабрикат!$B43,Final!$B:$B,0))</f>
        <v>0.32079866888519137</v>
      </c>
      <c r="J43">
        <f>$C43*INDEX(Final!K:K,MATCH(Полуфабрикат!$B43,Final!$B:$B,0))/INDEX(Final!$T:$T,MATCH(Полуфабрикат!$B43,Final!$B:$B,0))</f>
        <v>0.49384359400998346</v>
      </c>
      <c r="K43">
        <f>$C43*INDEX(Final!M:M,MATCH(Полуфабрикат!$B43,Final!$B:$B,0))/INDEX(Final!$T:$T,MATCH(Полуфабрикат!$B43,Final!$B:$B,0))</f>
        <v>7.720465890183029E-3</v>
      </c>
      <c r="L43">
        <f>$C43*INDEX(Final!N:N,MATCH(Полуфабрикат!$B43,Final!$B:$B,0))/INDEX(Final!$T:$T,MATCH(Полуфабрикат!$B43,Final!$B:$B,0))</f>
        <v>2.3693843594009986E-2</v>
      </c>
      <c r="M43">
        <f>$C43*INDEX(Final!O:O,MATCH(Полуфабрикат!$B43,Final!$B:$B,0))/INDEX(Final!$T:$T,MATCH(Полуфабрикат!$B43,Final!$B:$B,0))</f>
        <v>0.1128785357737105</v>
      </c>
      <c r="N43">
        <f>$C43*INDEX(Final!P:P,MATCH(Полуфабрикат!$B43,Final!$B:$B,0))/INDEX(Final!$T:$T,MATCH(Полуфабрикат!$B43,Final!$B:$B,0))</f>
        <v>0.12938435940099835</v>
      </c>
      <c r="O43">
        <f>$C43*INDEX(Final!Q:Q,MATCH(Полуфабрикат!$B43,Final!$B:$B,0))/INDEX(Final!$T:$T,MATCH(Полуфабрикат!$B43,Final!$B:$B,0))</f>
        <v>0.19833610648918473</v>
      </c>
      <c r="P43">
        <f>$C43*INDEX(Final!R:R,MATCH(Полуфабрикат!$B43,Final!$B:$B,0))/INDEX(Final!$T:$T,MATCH(Полуфабрикат!$B43,Final!$B:$B,0))</f>
        <v>0.59527454242928457</v>
      </c>
      <c r="Q43" t="b">
        <f t="shared" si="2"/>
        <v>1</v>
      </c>
      <c r="R43">
        <f>INDEX(Final!$BJ:$BJ,MATCH(Полуфабрикат!$B43,Final!$B:$B,0))/INDEX(Final!$AX:$AX,MATCH(Полуфабрикат!$B43,Final!$B:$B,0))</f>
        <v>0.22390204572522321</v>
      </c>
      <c r="S43">
        <f>INDEX(Final!$BE:$BE,MATCH(Полуфабрикат!$B43,Final!$B:$B,0))/INDEX(Final!$AX:$AX,MATCH(Полуфабрикат!$B43,Final!$B:$B,0))</f>
        <v>0.10090551902603741</v>
      </c>
      <c r="T43">
        <f>INDEX(Final!$AY:$AY,MATCH(Полуфабрикат!$B43,Final!$B:$B,0))/INDEX(Final!$AX:$AX,MATCH(Полуфабрикат!$B43,Final!$B:$B,0))</f>
        <v>0.51319590031795626</v>
      </c>
      <c r="U43">
        <f>INDEX(Final!$BL:$BL,MATCH(Полуфабрикат!$B43,Final!$B:$B,0))/INDEX(Final!$AX:$AX,MATCH(Полуфабрикат!$B43,Final!$B:$B,0))</f>
        <v>0.16199653493078309</v>
      </c>
      <c r="V43" t="b">
        <f t="shared" si="3"/>
        <v>1</v>
      </c>
      <c r="W43">
        <f t="shared" si="4"/>
        <v>0.22390204572522321</v>
      </c>
      <c r="X43">
        <f t="shared" si="5"/>
        <v>0.10090551902603741</v>
      </c>
      <c r="Y43">
        <f t="shared" si="6"/>
        <v>0.51319590031795626</v>
      </c>
      <c r="Z43">
        <f t="shared" si="7"/>
        <v>0.16199653493078309</v>
      </c>
    </row>
    <row r="44" spans="1:26" x14ac:dyDescent="0.25">
      <c r="A44" t="s">
        <v>285</v>
      </c>
      <c r="B44" t="s">
        <v>44</v>
      </c>
      <c r="C44">
        <f>INDEX(Final!$E:$E, MATCH(Полуфабрикат!$B44,Final!$B:$B,0))</f>
        <v>1.87</v>
      </c>
      <c r="D44" t="b">
        <f t="shared" si="1"/>
        <v>1</v>
      </c>
      <c r="E44">
        <f>$C44*INDEX(Final!F:F,MATCH(Полуфабрикат!$B44,Final!$B:$B,0))/INDEX(Final!$T:$T,MATCH(Полуфабрикат!$B44,Final!$B:$B,0))</f>
        <v>4.4720793973454504E-4</v>
      </c>
      <c r="F44">
        <f>$C44*INDEX(Final!G:G,MATCH(Полуфабрикат!$B44,Final!$B:$B,0))/INDEX(Final!$T:$T,MATCH(Полуфабрикат!$B44,Final!$B:$B,0))</f>
        <v>1.073299055362908E-2</v>
      </c>
      <c r="G44">
        <f>$C44*INDEX(Final!H:H,MATCH(Полуфабрикат!$B44,Final!$B:$B,0))/INDEX(Final!$T:$T,MATCH(Полуфабрикат!$B44,Final!$B:$B,0))</f>
        <v>9.9503766590936266E-2</v>
      </c>
      <c r="H44">
        <f>$C44*INDEX(Final!I:I,MATCH(Полуфабрикат!$B44,Final!$B:$B,0))/INDEX(Final!$T:$T,MATCH(Полуфабрикат!$B44,Final!$B:$B,0))</f>
        <v>0.23947985172784886</v>
      </c>
      <c r="I44">
        <f>$C44*INDEX(Final!J:J,MATCH(Полуфабрикат!$B44,Final!$B:$B,0))/INDEX(Final!$T:$T,MATCH(Полуфабрикат!$B44,Final!$B:$B,0))</f>
        <v>0.39085973932799234</v>
      </c>
      <c r="J44">
        <f>$C44*INDEX(Final!K:K,MATCH(Полуфабрикат!$B44,Final!$B:$B,0))/INDEX(Final!$T:$T,MATCH(Полуфабрикат!$B44,Final!$B:$B,0))</f>
        <v>0.43848738490972139</v>
      </c>
      <c r="K44">
        <f>$C44*INDEX(Final!M:M,MATCH(Полуфабрикат!$B44,Final!$B:$B,0))/INDEX(Final!$T:$T,MATCH(Полуфабрикат!$B44,Final!$B:$B,0))</f>
        <v>4.4720793973454504E-4</v>
      </c>
      <c r="L44">
        <f>$C44*INDEX(Final!N:N,MATCH(Полуфабрикат!$B44,Final!$B:$B,0))/INDEX(Final!$T:$T,MATCH(Полуфабрикат!$B44,Final!$B:$B,0))</f>
        <v>1.6546693770178166E-2</v>
      </c>
      <c r="M44">
        <f>$C44*INDEX(Final!O:O,MATCH(Полуфабрикат!$B44,Final!$B:$B,0))/INDEX(Final!$T:$T,MATCH(Полуфабрикат!$B44,Final!$B:$B,0))</f>
        <v>9.1230419705847179E-2</v>
      </c>
      <c r="N44">
        <f>$C44*INDEX(Final!P:P,MATCH(Полуфабрикат!$B44,Final!$B:$B,0))/INDEX(Final!$T:$T,MATCH(Полуфабрикат!$B44,Final!$B:$B,0))</f>
        <v>0.10106899438000717</v>
      </c>
      <c r="O44">
        <f>$C44*INDEX(Final!Q:Q,MATCH(Полуфабрикат!$B44,Final!$B:$B,0))/INDEX(Final!$T:$T,MATCH(Полуфабрикат!$B44,Final!$B:$B,0))</f>
        <v>0.14444816453425804</v>
      </c>
      <c r="P44">
        <f>$C44*INDEX(Final!R:R,MATCH(Полуфабрикат!$B44,Final!$B:$B,0))/INDEX(Final!$T:$T,MATCH(Полуфабрикат!$B44,Final!$B:$B,0))</f>
        <v>0.33697118258997966</v>
      </c>
      <c r="Q44" t="b">
        <f t="shared" si="2"/>
        <v>0</v>
      </c>
      <c r="R44">
        <f>INDEX(Final!$BJ:$BJ,MATCH(Полуфабрикат!$B44,Final!$B:$B,0))/INDEX(Final!$AX:$AX,MATCH(Полуфабрикат!$B44,Final!$B:$B,0))</f>
        <v>0.12002030596616819</v>
      </c>
      <c r="S44">
        <f>INDEX(Final!$BE:$BE,MATCH(Полуфабрикат!$B44,Final!$B:$B,0))/INDEX(Final!$AX:$AX,MATCH(Полуфабрикат!$B44,Final!$B:$B,0))</f>
        <v>0.23676670509886252</v>
      </c>
      <c r="T44">
        <f>INDEX(Final!$AY:$AY,MATCH(Полуфабрикат!$B44,Final!$B:$B,0))/INDEX(Final!$AX:$AX,MATCH(Полуфабрикат!$B44,Final!$B:$B,0))</f>
        <v>0.45259073153103541</v>
      </c>
      <c r="U44">
        <f>INDEX(Final!$BL:$BL,MATCH(Полуфабрикат!$B44,Final!$B:$B,0))/INDEX(Final!$AX:$AX,MATCH(Полуфабрикат!$B44,Final!$B:$B,0))</f>
        <v>0.19062655951541016</v>
      </c>
      <c r="V44" t="b">
        <f t="shared" si="3"/>
        <v>1</v>
      </c>
      <c r="W44">
        <f t="shared" si="4"/>
        <v>0.12001978962765385</v>
      </c>
      <c r="X44">
        <f t="shared" si="5"/>
        <v>0.23676568650648538</v>
      </c>
      <c r="Y44">
        <f t="shared" si="6"/>
        <v>0.45258878444363176</v>
      </c>
      <c r="Z44">
        <f t="shared" si="7"/>
        <v>0.19062573942222891</v>
      </c>
    </row>
    <row r="45" spans="1:26" x14ac:dyDescent="0.25">
      <c r="A45" t="s">
        <v>286</v>
      </c>
      <c r="B45" t="s">
        <v>164</v>
      </c>
      <c r="C45">
        <f>INDEX(Final!$E:$E, MATCH(Полуфабрикат!$B45,Final!$B:$B,0))</f>
        <v>2.1800000000000002</v>
      </c>
      <c r="D45" t="b">
        <f t="shared" si="1"/>
        <v>1</v>
      </c>
      <c r="E45">
        <f>$C45*INDEX(Final!F:F,MATCH(Полуфабрикат!$B45,Final!$B:$B,0))/INDEX(Final!$T:$T,MATCH(Полуфабрикат!$B45,Final!$B:$B,0))</f>
        <v>1.5618762985783447E-4</v>
      </c>
      <c r="F45">
        <f>$C45*INDEX(Final!G:G,MATCH(Полуфабрикат!$B45,Final!$B:$B,0))/INDEX(Final!$T:$T,MATCH(Полуфабрикат!$B45,Final!$B:$B,0))</f>
        <v>4.3509411174682457E-3</v>
      </c>
      <c r="G45">
        <f>$C45*INDEX(Final!H:H,MATCH(Полуфабрикат!$B45,Final!$B:$B,0))/INDEX(Final!$T:$T,MATCH(Полуфабрикат!$B45,Final!$B:$B,0))</f>
        <v>0.13976561620421071</v>
      </c>
      <c r="H45">
        <f>$C45*INDEX(Final!I:I,MATCH(Полуфабрикат!$B45,Final!$B:$B,0))/INDEX(Final!$T:$T,MATCH(Полуфабрикат!$B45,Final!$B:$B,0))</f>
        <v>0.27803629366549648</v>
      </c>
      <c r="I45">
        <f>$C45*INDEX(Final!J:J,MATCH(Полуфабрикат!$B45,Final!$B:$B,0))/INDEX(Final!$T:$T,MATCH(Полуфабрикат!$B45,Final!$B:$B,0))</f>
        <v>0.39165163812779552</v>
      </c>
      <c r="J45">
        <f>$C45*INDEX(Final!K:K,MATCH(Полуфабрикат!$B45,Final!$B:$B,0))/INDEX(Final!$T:$T,MATCH(Полуфабрикат!$B45,Final!$B:$B,0))</f>
        <v>0.31793107683489757</v>
      </c>
      <c r="K45">
        <f>$C45*INDEX(Final!M:M,MATCH(Полуфабрикат!$B45,Final!$B:$B,0))/INDEX(Final!$T:$T,MATCH(Полуфабрикат!$B45,Final!$B:$B,0))</f>
        <v>1.5618762985783447E-4</v>
      </c>
      <c r="L45">
        <f>$C45*INDEX(Final!N:N,MATCH(Полуфабрикат!$B45,Final!$B:$B,0))/INDEX(Final!$T:$T,MATCH(Полуфабрикат!$B45,Final!$B:$B,0))</f>
        <v>3.1683776342589279E-3</v>
      </c>
      <c r="M45">
        <f>$C45*INDEX(Final!O:O,MATCH(Полуфабрикат!$B45,Final!$B:$B,0))/INDEX(Final!$T:$T,MATCH(Полуфабрикат!$B45,Final!$B:$B,0))</f>
        <v>7.1846309734603847E-2</v>
      </c>
      <c r="N45">
        <f>$C45*INDEX(Final!P:P,MATCH(Полуфабрикат!$B45,Final!$B:$B,0))/INDEX(Final!$T:$T,MATCH(Полуфабрикат!$B45,Final!$B:$B,0))</f>
        <v>0.20342323163055384</v>
      </c>
      <c r="O45">
        <f>$C45*INDEX(Final!Q:Q,MATCH(Полуфабрикат!$B45,Final!$B:$B,0))/INDEX(Final!$T:$T,MATCH(Полуфабрикат!$B45,Final!$B:$B,0))</f>
        <v>0.36755411809258676</v>
      </c>
      <c r="P45">
        <f>$C45*INDEX(Final!R:R,MATCH(Полуфабрикат!$B45,Final!$B:$B,0))/INDEX(Final!$T:$T,MATCH(Полуфабрикат!$B45,Final!$B:$B,0))</f>
        <v>0.40191539666131032</v>
      </c>
      <c r="Q45" t="b">
        <f t="shared" si="2"/>
        <v>1</v>
      </c>
      <c r="R45">
        <f>INDEX(Final!$BJ:$BJ,MATCH(Полуфабрикат!$B45,Final!$B:$B,0))/INDEX(Final!$AX:$AX,MATCH(Полуфабрикат!$B45,Final!$B:$B,0))</f>
        <v>0.35340745500136039</v>
      </c>
      <c r="S45">
        <f>INDEX(Final!$BE:$BE,MATCH(Полуфабрикат!$B45,Final!$B:$B,0))/INDEX(Final!$AX:$AX,MATCH(Полуфабрикат!$B45,Final!$B:$B,0))</f>
        <v>0.41940098894178629</v>
      </c>
      <c r="T45">
        <f>INDEX(Final!$AY:$AY,MATCH(Полуфабрикат!$B45,Final!$B:$B,0))/INDEX(Final!$AX:$AX,MATCH(Полуфабрикат!$B45,Final!$B:$B,0))</f>
        <v>0.11987055107126844</v>
      </c>
      <c r="U45">
        <f>INDEX(Final!$BL:$BL,MATCH(Полуфабрикат!$B45,Final!$B:$B,0))/INDEX(Final!$AX:$AX,MATCH(Полуфабрикат!$B45,Final!$B:$B,0))</f>
        <v>0.10732100498558485</v>
      </c>
      <c r="V45" t="b">
        <f t="shared" si="3"/>
        <v>1</v>
      </c>
      <c r="W45">
        <f t="shared" si="4"/>
        <v>0.35340745500136045</v>
      </c>
      <c r="X45">
        <f t="shared" si="5"/>
        <v>0.41940098894178635</v>
      </c>
      <c r="Y45">
        <f t="shared" si="6"/>
        <v>0.11987055107126846</v>
      </c>
      <c r="Z45">
        <f t="shared" si="7"/>
        <v>0.10732100498558486</v>
      </c>
    </row>
    <row r="46" spans="1:26" x14ac:dyDescent="0.25">
      <c r="A46" t="s">
        <v>287</v>
      </c>
      <c r="B46" t="s">
        <v>37</v>
      </c>
      <c r="C46">
        <f>INDEX(Final!$E:$E, MATCH(Полуфабрикат!$B46,Final!$B:$B,0))</f>
        <v>0.59</v>
      </c>
      <c r="D46" t="b">
        <f t="shared" si="1"/>
        <v>1</v>
      </c>
      <c r="E46">
        <f>$C46*INDEX(Final!F:F,MATCH(Полуфабрикат!$B46,Final!$B:$B,0))/INDEX(Final!$T:$T,MATCH(Полуфабрикат!$B46,Final!$B:$B,0))</f>
        <v>1.5770663142719845E-3</v>
      </c>
      <c r="F46">
        <f>$C46*INDEX(Final!G:G,MATCH(Полуфабрикат!$B46,Final!$B:$B,0))/INDEX(Final!$T:$T,MATCH(Полуфабрикат!$B46,Final!$B:$B,0))</f>
        <v>4.7001892119173478E-3</v>
      </c>
      <c r="G46">
        <f>$C46*INDEX(Final!H:H,MATCH(Полуфабрикат!$B46,Final!$B:$B,0))/INDEX(Final!$T:$T,MATCH(Полуфабрикат!$B46,Final!$B:$B,0))</f>
        <v>4.2713689332051899E-2</v>
      </c>
      <c r="H46">
        <f>$C46*INDEX(Final!I:I,MATCH(Полуфабрикат!$B46,Final!$B:$B,0))/INDEX(Final!$T:$T,MATCH(Полуфабрикат!$B46,Final!$B:$B,0))</f>
        <v>6.4898936809226329E-2</v>
      </c>
      <c r="I46">
        <f>$C46*INDEX(Final!J:J,MATCH(Полуфабрикат!$B46,Final!$B:$B,0))/INDEX(Final!$T:$T,MATCH(Полуфабрикат!$B46,Final!$B:$B,0))</f>
        <v>8.5099561508889962E-2</v>
      </c>
      <c r="J46">
        <f>$C46*INDEX(Final!K:K,MATCH(Полуфабрикат!$B46,Final!$B:$B,0))/INDEX(Final!$T:$T,MATCH(Полуфабрикат!$B46,Final!$B:$B,0))</f>
        <v>8.6951285439692452E-2</v>
      </c>
      <c r="K46">
        <f>$C46*INDEX(Final!M:M,MATCH(Полуфабрикат!$B46,Final!$B:$B,0))/INDEX(Final!$T:$T,MATCH(Полуфабрикат!$B46,Final!$B:$B,0))</f>
        <v>1.3068386592984143E-3</v>
      </c>
      <c r="L46">
        <f>$C46*INDEX(Final!N:N,MATCH(Полуфабрикат!$B46,Final!$B:$B,0))/INDEX(Final!$T:$T,MATCH(Полуфабрикат!$B46,Final!$B:$B,0))</f>
        <v>5.1166055982700626E-3</v>
      </c>
      <c r="M46">
        <f>$C46*INDEX(Final!O:O,MATCH(Полуфабрикат!$B46,Final!$B:$B,0))/INDEX(Final!$T:$T,MATCH(Полуфабрикат!$B46,Final!$B:$B,0))</f>
        <v>3.7885031234983178E-2</v>
      </c>
      <c r="N46">
        <f>$C46*INDEX(Final!P:P,MATCH(Полуфабрикат!$B46,Final!$B:$B,0))/INDEX(Final!$T:$T,MATCH(Полуфабрикат!$B46,Final!$B:$B,0))</f>
        <v>5.5046702306583373E-2</v>
      </c>
      <c r="O46">
        <f>$C46*INDEX(Final!Q:Q,MATCH(Полуфабрикат!$B46,Final!$B:$B,0))/INDEX(Final!$T:$T,MATCH(Полуфабрикат!$B46,Final!$B:$B,0))</f>
        <v>8.0129144641999037E-2</v>
      </c>
      <c r="P46">
        <f>$C46*INDEX(Final!R:R,MATCH(Полуфабрикат!$B46,Final!$B:$B,0))/INDEX(Final!$T:$T,MATCH(Полуфабрикат!$B46,Final!$B:$B,0))</f>
        <v>0.12458380886592985</v>
      </c>
      <c r="Q46" t="b">
        <f t="shared" si="2"/>
        <v>1</v>
      </c>
      <c r="R46">
        <f>INDEX(Final!$BJ:$BJ,MATCH(Полуфабрикат!$B46,Final!$B:$B,0))/INDEX(Final!$AX:$AX,MATCH(Полуфабрикат!$B46,Final!$B:$B,0))</f>
        <v>0.15421804654352922</v>
      </c>
      <c r="S46">
        <f>INDEX(Final!$BE:$BE,MATCH(Полуфабрикат!$B46,Final!$B:$B,0))/INDEX(Final!$AX:$AX,MATCH(Полуфабрикат!$B46,Final!$B:$B,0))</f>
        <v>0.14901227261986663</v>
      </c>
      <c r="T46">
        <f>INDEX(Final!$AY:$AY,MATCH(Полуфабрикат!$B46,Final!$B:$B,0))/INDEX(Final!$AX:$AX,MATCH(Полуфабрикат!$B46,Final!$B:$B,0))</f>
        <v>0.45874902502828202</v>
      </c>
      <c r="U46">
        <f>INDEX(Final!$BL:$BL,MATCH(Полуфабрикат!$B46,Final!$B:$B,0))/INDEX(Final!$AX:$AX,MATCH(Полуфабрикат!$B46,Final!$B:$B,0))</f>
        <v>0.23802065580832213</v>
      </c>
      <c r="V46" t="b">
        <f t="shared" si="3"/>
        <v>1</v>
      </c>
      <c r="W46">
        <f t="shared" si="4"/>
        <v>0.15421804654352925</v>
      </c>
      <c r="X46">
        <f t="shared" si="5"/>
        <v>0.14901227261986666</v>
      </c>
      <c r="Y46">
        <f t="shared" si="6"/>
        <v>0.45874902502828208</v>
      </c>
      <c r="Z46">
        <f t="shared" si="7"/>
        <v>0.23802065580832216</v>
      </c>
    </row>
    <row r="47" spans="1:26" x14ac:dyDescent="0.25">
      <c r="A47" t="s">
        <v>288</v>
      </c>
      <c r="B47" t="s">
        <v>203</v>
      </c>
      <c r="C47">
        <f>INDEX(Final!$E:$E, MATCH(Полуфабрикат!$B47,Final!$B:$B,0))</f>
        <v>3.49</v>
      </c>
      <c r="D47" t="b">
        <f t="shared" si="1"/>
        <v>1</v>
      </c>
      <c r="E47">
        <f>$C47*INDEX(Final!F:F,MATCH(Полуфабрикат!$B47,Final!$B:$B,0))/INDEX(Final!$T:$T,MATCH(Полуфабрикат!$B47,Final!$B:$B,0))</f>
        <v>0.35627578689194711</v>
      </c>
      <c r="F47">
        <f>$C47*INDEX(Final!G:G,MATCH(Полуфабрикат!$B47,Final!$B:$B,0))/INDEX(Final!$T:$T,MATCH(Полуфабрикат!$B47,Final!$B:$B,0))</f>
        <v>0.15768960348821365</v>
      </c>
      <c r="G47">
        <f>$C47*INDEX(Final!H:H,MATCH(Полуфабрикат!$B47,Final!$B:$B,0))/INDEX(Final!$T:$T,MATCH(Полуфабрикат!$B47,Final!$B:$B,0))</f>
        <v>0.28028423490938825</v>
      </c>
      <c r="H47">
        <f>$C47*INDEX(Final!I:I,MATCH(Полуфабрикат!$B47,Final!$B:$B,0))/INDEX(Final!$T:$T,MATCH(Полуфабрикат!$B47,Final!$B:$B,0))</f>
        <v>0.26069191988009272</v>
      </c>
      <c r="I47">
        <f>$C47*INDEX(Final!J:J,MATCH(Полуфабрикат!$B47,Final!$B:$B,0))/INDEX(Final!$T:$T,MATCH(Полуфабрикат!$B47,Final!$B:$B,0))</f>
        <v>0.33021610573647636</v>
      </c>
      <c r="J47">
        <f>$C47*INDEX(Final!K:K,MATCH(Полуфабрикат!$B47,Final!$B:$B,0))/INDEX(Final!$T:$T,MATCH(Полуфабрикат!$B47,Final!$B:$B,0))</f>
        <v>0.34733560430576371</v>
      </c>
      <c r="K47">
        <f>$C47*INDEX(Final!M:M,MATCH(Полуфабрикат!$B47,Final!$B:$B,0))/INDEX(Final!$T:$T,MATCH(Полуфабрикат!$B47,Final!$B:$B,0))</f>
        <v>0.22474097288458919</v>
      </c>
      <c r="L47">
        <f>$C47*INDEX(Final!N:N,MATCH(Полуфабрикат!$B47,Final!$B:$B,0))/INDEX(Final!$T:$T,MATCH(Полуфабрикат!$B47,Final!$B:$B,0))</f>
        <v>0.19078730072216923</v>
      </c>
      <c r="M47">
        <f>$C47*INDEX(Final!O:O,MATCH(Полуфабрикат!$B47,Final!$B:$B,0))/INDEX(Final!$T:$T,MATCH(Полуфабрикат!$B47,Final!$B:$B,0))</f>
        <v>0.35389807875732388</v>
      </c>
      <c r="N47">
        <f>$C47*INDEX(Final!P:P,MATCH(Полуфабрикат!$B47,Final!$B:$B,0))/INDEX(Final!$T:$T,MATCH(Полуфабрикат!$B47,Final!$B:$B,0))</f>
        <v>0.28456410955171008</v>
      </c>
      <c r="O47">
        <f>$C47*INDEX(Final!Q:Q,MATCH(Полуфабрикат!$B47,Final!$B:$B,0))/INDEX(Final!$T:$T,MATCH(Полуфабрикат!$B47,Final!$B:$B,0))</f>
        <v>0.30872162419948224</v>
      </c>
      <c r="P47">
        <f>$C47*INDEX(Final!R:R,MATCH(Полуфабрикат!$B47,Final!$B:$B,0))/INDEX(Final!$T:$T,MATCH(Полуфабрикат!$B47,Final!$B:$B,0))</f>
        <v>0.39479465867284369</v>
      </c>
      <c r="Q47" t="b">
        <f t="shared" si="2"/>
        <v>1</v>
      </c>
      <c r="R47">
        <f>INDEX(Final!$BJ:$BJ,MATCH(Полуфабрикат!$B47,Final!$B:$B,0))/INDEX(Final!$AX:$AX,MATCH(Полуфабрикат!$B47,Final!$B:$B,0))</f>
        <v>0.71860547197173497</v>
      </c>
      <c r="S47">
        <f>INDEX(Final!$BE:$BE,MATCH(Полуфабрикат!$B47,Final!$B:$B,0))/INDEX(Final!$AX:$AX,MATCH(Полуфабрикат!$B47,Final!$B:$B,0))</f>
        <v>3.0363268065413E-2</v>
      </c>
      <c r="T47">
        <f>INDEX(Final!$AY:$AY,MATCH(Полуфабрикат!$B47,Final!$B:$B,0))/INDEX(Final!$AX:$AX,MATCH(Полуфабрикат!$B47,Final!$B:$B,0))</f>
        <v>0.24396559764311304</v>
      </c>
      <c r="U47">
        <f>INDEX(Final!$BL:$BL,MATCH(Полуфабрикат!$B47,Final!$B:$B,0))/INDEX(Final!$AX:$AX,MATCH(Полуфабрикат!$B47,Final!$B:$B,0))</f>
        <v>7.0656623197390498E-3</v>
      </c>
      <c r="V47" t="b">
        <f t="shared" si="3"/>
        <v>1</v>
      </c>
      <c r="W47">
        <f t="shared" si="4"/>
        <v>0.71860547197173485</v>
      </c>
      <c r="X47">
        <f t="shared" si="5"/>
        <v>3.0363268065412993E-2</v>
      </c>
      <c r="Y47">
        <f t="shared" si="6"/>
        <v>0.24396559764311299</v>
      </c>
      <c r="Z47">
        <f t="shared" si="7"/>
        <v>7.0656623197390481E-3</v>
      </c>
    </row>
    <row r="48" spans="1:26" x14ac:dyDescent="0.25">
      <c r="A48" t="s">
        <v>289</v>
      </c>
      <c r="B48" t="s">
        <v>13</v>
      </c>
      <c r="C48">
        <f>INDEX(Final!$E:$E, MATCH(Полуфабрикат!$B48,Final!$B:$B,0))</f>
        <v>3.3</v>
      </c>
      <c r="D48" t="b">
        <f t="shared" si="1"/>
        <v>1</v>
      </c>
      <c r="E48">
        <f>$C48*INDEX(Final!F:F,MATCH(Полуфабрикат!$B48,Final!$B:$B,0))/INDEX(Final!$T:$T,MATCH(Полуфабрикат!$B48,Final!$B:$B,0))</f>
        <v>3.0555555555555557E-3</v>
      </c>
      <c r="F48">
        <f>$C48*INDEX(Final!G:G,MATCH(Полуфабрикат!$B48,Final!$B:$B,0))/INDEX(Final!$T:$T,MATCH(Полуфабрикат!$B48,Final!$B:$B,0))</f>
        <v>4.2777777777777776E-2</v>
      </c>
      <c r="G48">
        <f>$C48*INDEX(Final!H:H,MATCH(Полуфабрикат!$B48,Final!$B:$B,0))/INDEX(Final!$T:$T,MATCH(Полуфабрикат!$B48,Final!$B:$B,0))</f>
        <v>0.22916666666666666</v>
      </c>
      <c r="H48">
        <f>$C48*INDEX(Final!I:I,MATCH(Полуфабрикат!$B48,Final!$B:$B,0))/INDEX(Final!$T:$T,MATCH(Полуфабрикат!$B48,Final!$B:$B,0))</f>
        <v>0.30555555555555558</v>
      </c>
      <c r="I48">
        <f>$C48*INDEX(Final!J:J,MATCH(Полуфабрикат!$B48,Final!$B:$B,0))/INDEX(Final!$T:$T,MATCH(Полуфабрикат!$B48,Final!$B:$B,0))</f>
        <v>0.56527777777777777</v>
      </c>
      <c r="J48">
        <f>$C48*INDEX(Final!K:K,MATCH(Полуфабрикат!$B48,Final!$B:$B,0))/INDEX(Final!$T:$T,MATCH(Полуфабрикат!$B48,Final!$B:$B,0))</f>
        <v>0.88</v>
      </c>
      <c r="K48">
        <f>$C48*INDEX(Final!M:M,MATCH(Полуфабрикат!$B48,Final!$B:$B,0))/INDEX(Final!$T:$T,MATCH(Полуфабрикат!$B48,Final!$B:$B,0))</f>
        <v>3.0555555555555557E-3</v>
      </c>
      <c r="L48">
        <f>$C48*INDEX(Final!N:N,MATCH(Полуфабрикат!$B48,Final!$B:$B,0))/INDEX(Final!$T:$T,MATCH(Полуфабрикат!$B48,Final!$B:$B,0))</f>
        <v>3.3611111111111112E-2</v>
      </c>
      <c r="M48">
        <f>$C48*INDEX(Final!O:O,MATCH(Полуфабрикат!$B48,Final!$B:$B,0))/INDEX(Final!$T:$T,MATCH(Полуфабрикат!$B48,Final!$B:$B,0))</f>
        <v>0.15583333333333332</v>
      </c>
      <c r="N48">
        <f>$C48*INDEX(Final!P:P,MATCH(Полуфабрикат!$B48,Final!$B:$B,0))/INDEX(Final!$T:$T,MATCH(Полуфабрикат!$B48,Final!$B:$B,0))</f>
        <v>0.1925</v>
      </c>
      <c r="O48">
        <f>$C48*INDEX(Final!Q:Q,MATCH(Полуфабрикат!$B48,Final!$B:$B,0))/INDEX(Final!$T:$T,MATCH(Полуфабрикат!$B48,Final!$B:$B,0))</f>
        <v>0.32694444444444443</v>
      </c>
      <c r="P48">
        <f>$C48*INDEX(Final!R:R,MATCH(Полуфабрикат!$B48,Final!$B:$B,0))/INDEX(Final!$T:$T,MATCH(Полуфабрикат!$B48,Final!$B:$B,0))</f>
        <v>0.56222222222222218</v>
      </c>
      <c r="Q48" t="b">
        <f t="shared" si="2"/>
        <v>1</v>
      </c>
      <c r="R48">
        <f>INDEX(Final!$BJ:$BJ,MATCH(Полуфабрикат!$B48,Final!$B:$B,0))/INDEX(Final!$AX:$AX,MATCH(Полуфабрикат!$B48,Final!$B:$B,0))</f>
        <v>0.47764265408757262</v>
      </c>
      <c r="S48">
        <f>INDEX(Final!$BE:$BE,MATCH(Полуфабрикат!$B48,Final!$B:$B,0))/INDEX(Final!$AX:$AX,MATCH(Полуфабрикат!$B48,Final!$B:$B,0))</f>
        <v>0.17211667308641707</v>
      </c>
      <c r="T48">
        <f>INDEX(Final!$AY:$AY,MATCH(Полуфабрикат!$B48,Final!$B:$B,0))/INDEX(Final!$AX:$AX,MATCH(Полуфабрикат!$B48,Final!$B:$B,0))</f>
        <v>0.29369374806729343</v>
      </c>
      <c r="U48">
        <f>INDEX(Final!$BL:$BL,MATCH(Полуфабрикат!$B48,Final!$B:$B,0))/INDEX(Final!$AX:$AX,MATCH(Полуфабрикат!$B48,Final!$B:$B,0))</f>
        <v>5.6546924758716845E-2</v>
      </c>
      <c r="V48" t="b">
        <f t="shared" si="3"/>
        <v>1</v>
      </c>
      <c r="W48">
        <f t="shared" si="4"/>
        <v>0.47764265408757267</v>
      </c>
      <c r="X48">
        <f t="shared" si="5"/>
        <v>0.17211667308641709</v>
      </c>
      <c r="Y48">
        <f t="shared" si="6"/>
        <v>0.29369374806729348</v>
      </c>
      <c r="Z48">
        <f t="shared" si="7"/>
        <v>5.6546924758716852E-2</v>
      </c>
    </row>
    <row r="49" spans="1:26" x14ac:dyDescent="0.25">
      <c r="A49" t="s">
        <v>290</v>
      </c>
      <c r="B49" t="s">
        <v>223</v>
      </c>
      <c r="C49">
        <f>INDEX(Final!$E:$E, MATCH(Полуфабрикат!$B49,Final!$B:$B,0))</f>
        <v>4.3</v>
      </c>
      <c r="D49" t="b">
        <f t="shared" si="1"/>
        <v>1</v>
      </c>
      <c r="E49">
        <f>$C49*INDEX(Final!F:F,MATCH(Полуфабрикат!$B49,Final!$B:$B,0))/INDEX(Final!$T:$T,MATCH(Полуфабрикат!$B49,Final!$B:$B,0))</f>
        <v>1.9287144573488187E-2</v>
      </c>
      <c r="F49">
        <f>$C49*INDEX(Final!G:G,MATCH(Полуфабрикат!$B49,Final!$B:$B,0))/INDEX(Final!$T:$T,MATCH(Полуфабрикат!$B49,Final!$B:$B,0))</f>
        <v>0.1663516219463356</v>
      </c>
      <c r="G49">
        <f>$C49*INDEX(Final!H:H,MATCH(Полуфабрикат!$B49,Final!$B:$B,0))/INDEX(Final!$T:$T,MATCH(Полуфабрикат!$B49,Final!$B:$B,0))</f>
        <v>0.70845814977973565</v>
      </c>
      <c r="H49">
        <f>$C49*INDEX(Final!I:I,MATCH(Полуфабрикат!$B49,Final!$B:$B,0))/INDEX(Final!$T:$T,MATCH(Полуфабрикат!$B49,Final!$B:$B,0))</f>
        <v>0.63406487785342414</v>
      </c>
      <c r="I49">
        <f>$C49*INDEX(Final!J:J,MATCH(Полуфабрикат!$B49,Final!$B:$B,0))/INDEX(Final!$T:$T,MATCH(Полуфабрикат!$B49,Final!$B:$B,0))</f>
        <v>0.54727272727272724</v>
      </c>
      <c r="J49">
        <f>$C49*INDEX(Final!K:K,MATCH(Полуфабрикат!$B49,Final!$B:$B,0))/INDEX(Final!$T:$T,MATCH(Полуфабрикат!$B49,Final!$B:$B,0))</f>
        <v>0.38333199839807769</v>
      </c>
      <c r="K49">
        <f>$C49*INDEX(Final!M:M,MATCH(Полуфабрикат!$B49,Final!$B:$B,0))/INDEX(Final!$T:$T,MATCH(Полуфабрикат!$B49,Final!$B:$B,0))</f>
        <v>1.7565078093712456E-2</v>
      </c>
      <c r="L49">
        <f>$C49*INDEX(Final!N:N,MATCH(Полуфабрикат!$B49,Final!$B:$B,0))/INDEX(Final!$T:$T,MATCH(Полуфабрикат!$B49,Final!$B:$B,0))</f>
        <v>0.16531838205847016</v>
      </c>
      <c r="M49">
        <f>$C49*INDEX(Final!O:O,MATCH(Полуфабрикат!$B49,Final!$B:$B,0))/INDEX(Final!$T:$T,MATCH(Полуфабрикат!$B49,Final!$B:$B,0))</f>
        <v>0.43361633960752904</v>
      </c>
      <c r="N49">
        <f>$C49*INDEX(Final!P:P,MATCH(Полуфабрикат!$B49,Final!$B:$B,0))/INDEX(Final!$T:$T,MATCH(Полуфабрикат!$B49,Final!$B:$B,0))</f>
        <v>0.39435322386864236</v>
      </c>
      <c r="O49">
        <f>$C49*INDEX(Final!Q:Q,MATCH(Полуфабрикат!$B49,Final!$B:$B,0))/INDEX(Final!$T:$T,MATCH(Полуфабрикат!$B49,Final!$B:$B,0))</f>
        <v>0.40055266319583499</v>
      </c>
      <c r="P49">
        <f>$C49*INDEX(Final!R:R,MATCH(Полуфабрикат!$B49,Final!$B:$B,0))/INDEX(Final!$T:$T,MATCH(Полуфабрикат!$B49,Final!$B:$B,0))</f>
        <v>0.42948338005606729</v>
      </c>
      <c r="Q49" t="b">
        <f t="shared" si="2"/>
        <v>1</v>
      </c>
      <c r="R49">
        <f>INDEX(Final!$BJ:$BJ,MATCH(Полуфабрикат!$B49,Final!$B:$B,0))/INDEX(Final!$AX:$AX,MATCH(Полуфабрикат!$B49,Final!$B:$B,0))</f>
        <v>8.0349190159662714E-2</v>
      </c>
      <c r="S49">
        <f>INDEX(Final!$BE:$BE,MATCH(Полуфабрикат!$B49,Final!$B:$B,0))/INDEX(Final!$AX:$AX,MATCH(Полуфабрикат!$B49,Final!$B:$B,0))</f>
        <v>0.35498088774475389</v>
      </c>
      <c r="T49">
        <f>INDEX(Final!$AY:$AY,MATCH(Полуфабрикат!$B49,Final!$B:$B,0))/INDEX(Final!$AX:$AX,MATCH(Полуфабрикат!$B49,Final!$B:$B,0))</f>
        <v>0.45622140875309852</v>
      </c>
      <c r="U49">
        <f>INDEX(Final!$BL:$BL,MATCH(Полуфабрикат!$B49,Final!$B:$B,0))/INDEX(Final!$AX:$AX,MATCH(Полуфабрикат!$B49,Final!$B:$B,0))</f>
        <v>0.10844851334248486</v>
      </c>
      <c r="V49" t="b">
        <f t="shared" si="3"/>
        <v>1</v>
      </c>
      <c r="W49">
        <f t="shared" si="4"/>
        <v>8.0349190159662714E-2</v>
      </c>
      <c r="X49">
        <f t="shared" si="5"/>
        <v>0.35498088774475389</v>
      </c>
      <c r="Y49">
        <f t="shared" si="6"/>
        <v>0.45622140875309852</v>
      </c>
      <c r="Z49">
        <f t="shared" si="7"/>
        <v>0.10844851334248486</v>
      </c>
    </row>
    <row r="50" spans="1:26" x14ac:dyDescent="0.25">
      <c r="A50" t="s">
        <v>291</v>
      </c>
      <c r="B50" t="s">
        <v>30</v>
      </c>
      <c r="C50">
        <f>INDEX(Final!$E:$E, MATCH(Полуфабрикат!$B50,Final!$B:$B,0))</f>
        <v>0.24</v>
      </c>
      <c r="D50" t="b">
        <f t="shared" si="1"/>
        <v>1</v>
      </c>
      <c r="E50">
        <f>$C50*INDEX(Final!F:F,MATCH(Полуфабрикат!$B50,Final!$B:$B,0))/INDEX(Final!$T:$T,MATCH(Полуфабрикат!$B50,Final!$B:$B,0))</f>
        <v>0</v>
      </c>
      <c r="F50">
        <f>$C50*INDEX(Final!G:G,MATCH(Полуфабрикат!$B50,Final!$B:$B,0))/INDEX(Final!$T:$T,MATCH(Полуфабрикат!$B50,Final!$B:$B,0))</f>
        <v>1.3714285714285714E-2</v>
      </c>
      <c r="G50">
        <f>$C50*INDEX(Final!H:H,MATCH(Полуфабрикат!$B50,Final!$B:$B,0))/INDEX(Final!$T:$T,MATCH(Полуфабрикат!$B50,Final!$B:$B,0))</f>
        <v>4.8000000000000001E-2</v>
      </c>
      <c r="H50">
        <f>$C50*INDEX(Final!I:I,MATCH(Полуфабрикат!$B50,Final!$B:$B,0))/INDEX(Final!$T:$T,MATCH(Полуфабрикат!$B50,Final!$B:$B,0))</f>
        <v>3.4285714285714287E-2</v>
      </c>
      <c r="I50">
        <f>$C50*INDEX(Final!J:J,MATCH(Полуфабрикат!$B50,Final!$B:$B,0))/INDEX(Final!$T:$T,MATCH(Полуфабрикат!$B50,Final!$B:$B,0))</f>
        <v>3.4285714285714287E-2</v>
      </c>
      <c r="J50">
        <f>$C50*INDEX(Final!K:K,MATCH(Полуфабрикат!$B50,Final!$B:$B,0))/INDEX(Final!$T:$T,MATCH(Полуфабрикат!$B50,Final!$B:$B,0))</f>
        <v>1.3714285714285714E-2</v>
      </c>
      <c r="K50">
        <f>$C50*INDEX(Final!M:M,MATCH(Полуфабрикат!$B50,Final!$B:$B,0))/INDEX(Final!$T:$T,MATCH(Полуфабрикат!$B50,Final!$B:$B,0))</f>
        <v>0</v>
      </c>
      <c r="L50">
        <f>$C50*INDEX(Final!N:N,MATCH(Полуфабрикат!$B50,Final!$B:$B,0))/INDEX(Final!$T:$T,MATCH(Полуфабрикат!$B50,Final!$B:$B,0))</f>
        <v>1.3714285714285714E-2</v>
      </c>
      <c r="M50">
        <f>$C50*INDEX(Final!O:O,MATCH(Полуфабрикат!$B50,Final!$B:$B,0))/INDEX(Final!$T:$T,MATCH(Полуфабрикат!$B50,Final!$B:$B,0))</f>
        <v>3.4285714285714287E-2</v>
      </c>
      <c r="N50">
        <f>$C50*INDEX(Final!P:P,MATCH(Полуфабрикат!$B50,Final!$B:$B,0))/INDEX(Final!$T:$T,MATCH(Полуфабрикат!$B50,Final!$B:$B,0))</f>
        <v>2.057142857142857E-2</v>
      </c>
      <c r="O50">
        <f>$C50*INDEX(Final!Q:Q,MATCH(Полуфабрикат!$B50,Final!$B:$B,0))/INDEX(Final!$T:$T,MATCH(Полуфабрикат!$B50,Final!$B:$B,0))</f>
        <v>2.057142857142857E-2</v>
      </c>
      <c r="P50">
        <f>$C50*INDEX(Final!R:R,MATCH(Полуфабрикат!$B50,Final!$B:$B,0))/INDEX(Final!$T:$T,MATCH(Полуфабрикат!$B50,Final!$B:$B,0))</f>
        <v>6.8571428571428568E-3</v>
      </c>
      <c r="Q50" t="b">
        <f t="shared" si="2"/>
        <v>1</v>
      </c>
      <c r="R50">
        <f>INDEX(Final!$BJ:$BJ,MATCH(Полуфабрикат!$B50,Final!$B:$B,0))/INDEX(Final!$AX:$AX,MATCH(Полуфабрикат!$B50,Final!$B:$B,0))</f>
        <v>4.7896939597533883E-2</v>
      </c>
      <c r="S50">
        <f>INDEX(Final!$BE:$BE,MATCH(Полуфабрикат!$B50,Final!$B:$B,0))/INDEX(Final!$AX:$AX,MATCH(Полуфабрикат!$B50,Final!$B:$B,0))</f>
        <v>0.27496358601160364</v>
      </c>
      <c r="T50">
        <f>INDEX(Final!$AY:$AY,MATCH(Полуфабрикат!$B50,Final!$B:$B,0))/INDEX(Final!$AX:$AX,MATCH(Полуфабрикат!$B50,Final!$B:$B,0))</f>
        <v>0.42858247191986482</v>
      </c>
      <c r="U50">
        <f>INDEX(Final!$BL:$BL,MATCH(Полуфабрикат!$B50,Final!$B:$B,0))/INDEX(Final!$AX:$AX,MATCH(Полуфабрикат!$B50,Final!$B:$B,0))</f>
        <v>0.24855700247099766</v>
      </c>
      <c r="V50" t="b">
        <f t="shared" si="3"/>
        <v>1</v>
      </c>
      <c r="W50">
        <f t="shared" si="4"/>
        <v>4.7896939597533883E-2</v>
      </c>
      <c r="X50">
        <f t="shared" si="5"/>
        <v>0.27496358601160364</v>
      </c>
      <c r="Y50">
        <f t="shared" si="6"/>
        <v>0.42858247191986482</v>
      </c>
      <c r="Z50">
        <f t="shared" si="7"/>
        <v>0.24855700247099766</v>
      </c>
    </row>
    <row r="51" spans="1:26" x14ac:dyDescent="0.25">
      <c r="A51" t="s">
        <v>292</v>
      </c>
      <c r="B51" t="s">
        <v>21</v>
      </c>
      <c r="C51">
        <f>INDEX(Final!$E:$E, MATCH(Полуфабрикат!$B51,Final!$B:$B,0))</f>
        <v>0.54</v>
      </c>
      <c r="D51" t="b">
        <f t="shared" si="1"/>
        <v>1</v>
      </c>
      <c r="E51">
        <f>$C51*INDEX(Final!F:F,MATCH(Полуфабрикат!$B51,Final!$B:$B,0))/INDEX(Final!$T:$T,MATCH(Полуфабрикат!$B51,Final!$B:$B,0))</f>
        <v>2.7135678391959797E-3</v>
      </c>
      <c r="F51">
        <f>$C51*INDEX(Final!G:G,MATCH(Полуфабрикат!$B51,Final!$B:$B,0))/INDEX(Final!$T:$T,MATCH(Полуфабрикат!$B51,Final!$B:$B,0))</f>
        <v>2.577889447236181E-2</v>
      </c>
      <c r="G51">
        <f>$C51*INDEX(Final!H:H,MATCH(Полуфабрикат!$B51,Final!$B:$B,0))/INDEX(Final!$T:$T,MATCH(Полуфабрикат!$B51,Final!$B:$B,0))</f>
        <v>0.10447236180904522</v>
      </c>
      <c r="H51">
        <f>$C51*INDEX(Final!I:I,MATCH(Полуфабрикат!$B51,Final!$B:$B,0))/INDEX(Final!$T:$T,MATCH(Полуфабрикат!$B51,Final!$B:$B,0))</f>
        <v>8.4120603015075374E-2</v>
      </c>
      <c r="I51">
        <f>$C51*INDEX(Final!J:J,MATCH(Полуфабрикат!$B51,Final!$B:$B,0))/INDEX(Final!$T:$T,MATCH(Полуфабрикат!$B51,Final!$B:$B,0))</f>
        <v>8.2763819095477392E-2</v>
      </c>
      <c r="J51">
        <f>$C51*INDEX(Final!K:K,MATCH(Полуфабрикат!$B51,Final!$B:$B,0))/INDEX(Final!$T:$T,MATCH(Полуфабрикат!$B51,Final!$B:$B,0))</f>
        <v>3.2562814070351762E-2</v>
      </c>
      <c r="K51">
        <f>$C51*INDEX(Final!M:M,MATCH(Полуфабрикат!$B51,Final!$B:$B,0))/INDEX(Final!$T:$T,MATCH(Полуфабрикат!$B51,Final!$B:$B,0))</f>
        <v>1.3567839195979898E-3</v>
      </c>
      <c r="L51">
        <f>$C51*INDEX(Final!N:N,MATCH(Полуфабрикат!$B51,Final!$B:$B,0))/INDEX(Final!$T:$T,MATCH(Полуфабрикат!$B51,Final!$B:$B,0))</f>
        <v>1.7638190954773869E-2</v>
      </c>
      <c r="M51">
        <f>$C51*INDEX(Final!O:O,MATCH(Полуфабрикат!$B51,Final!$B:$B,0))/INDEX(Final!$T:$T,MATCH(Полуфабрикат!$B51,Final!$B:$B,0))</f>
        <v>6.5125628140703523E-2</v>
      </c>
      <c r="N51">
        <f>$C51*INDEX(Final!P:P,MATCH(Полуфабрикат!$B51,Final!$B:$B,0))/INDEX(Final!$T:$T,MATCH(Полуфабрикат!$B51,Final!$B:$B,0))</f>
        <v>5.2914572864321607E-2</v>
      </c>
      <c r="O51">
        <f>$C51*INDEX(Final!Q:Q,MATCH(Полуфабрикат!$B51,Final!$B:$B,0))/INDEX(Final!$T:$T,MATCH(Полуфабрикат!$B51,Final!$B:$B,0))</f>
        <v>4.8844221105527642E-2</v>
      </c>
      <c r="P51">
        <f>$C51*INDEX(Final!R:R,MATCH(Полуфабрикат!$B51,Final!$B:$B,0))/INDEX(Final!$T:$T,MATCH(Полуфабрикат!$B51,Final!$B:$B,0))</f>
        <v>2.0351758793969849E-2</v>
      </c>
      <c r="Q51" t="b">
        <f t="shared" si="2"/>
        <v>1</v>
      </c>
      <c r="R51">
        <f>INDEX(Final!$BJ:$BJ,MATCH(Полуфабрикат!$B51,Final!$B:$B,0))/INDEX(Final!$AX:$AX,MATCH(Полуфабрикат!$B51,Final!$B:$B,0))</f>
        <v>8.7971714470300569E-2</v>
      </c>
      <c r="S51">
        <f>INDEX(Final!$BE:$BE,MATCH(Полуфабрикат!$B51,Final!$B:$B,0))/INDEX(Final!$AX:$AX,MATCH(Полуфабрикат!$B51,Final!$B:$B,0))</f>
        <v>0.28087181601878686</v>
      </c>
      <c r="T51">
        <f>INDEX(Final!$AY:$AY,MATCH(Полуфабрикат!$B51,Final!$B:$B,0))/INDEX(Final!$AX:$AX,MATCH(Полуфабрикат!$B51,Final!$B:$B,0))</f>
        <v>0.53066731260477851</v>
      </c>
      <c r="U51">
        <f>INDEX(Final!$BL:$BL,MATCH(Полуфабрикат!$B51,Final!$B:$B,0))/INDEX(Final!$AX:$AX,MATCH(Полуфабрикат!$B51,Final!$B:$B,0))</f>
        <v>0.10048915690613409</v>
      </c>
      <c r="V51" t="b">
        <f t="shared" si="3"/>
        <v>1</v>
      </c>
      <c r="W51">
        <f t="shared" si="4"/>
        <v>8.7971714470300569E-2</v>
      </c>
      <c r="X51">
        <f t="shared" si="5"/>
        <v>0.28087181601878686</v>
      </c>
      <c r="Y51">
        <f t="shared" si="6"/>
        <v>0.53066731260477851</v>
      </c>
      <c r="Z51">
        <f t="shared" si="7"/>
        <v>0.10048915690613409</v>
      </c>
    </row>
    <row r="52" spans="1:26" x14ac:dyDescent="0.25">
      <c r="A52" t="s">
        <v>293</v>
      </c>
      <c r="B52" t="s">
        <v>29</v>
      </c>
      <c r="C52">
        <f>INDEX(Final!$E:$E, MATCH(Полуфабрикат!$B52,Final!$B:$B,0))</f>
        <v>0.99</v>
      </c>
      <c r="D52" t="b">
        <f t="shared" si="1"/>
        <v>1</v>
      </c>
      <c r="E52">
        <f>$C52*INDEX(Final!F:F,MATCH(Полуфабрикат!$B52,Final!$B:$B,0))/INDEX(Final!$T:$T,MATCH(Полуфабрикат!$B52,Final!$B:$B,0))</f>
        <v>5.4675994108983796E-3</v>
      </c>
      <c r="F52">
        <f>$C52*INDEX(Final!G:G,MATCH(Полуфабрикат!$B52,Final!$B:$B,0))/INDEX(Final!$T:$T,MATCH(Полуфабрикат!$B52,Final!$B:$B,0))</f>
        <v>9.9145802650957293E-2</v>
      </c>
      <c r="G52">
        <f>$C52*INDEX(Final!H:H,MATCH(Полуфабрикат!$B52,Final!$B:$B,0))/INDEX(Final!$T:$T,MATCH(Полуфабрикат!$B52,Final!$B:$B,0))</f>
        <v>0.1640279823269514</v>
      </c>
      <c r="H52">
        <f>$C52*INDEX(Final!I:I,MATCH(Полуфабрикат!$B52,Final!$B:$B,0))/INDEX(Final!$T:$T,MATCH(Полуфабрикат!$B52,Final!$B:$B,0))</f>
        <v>8.4565537555228276E-2</v>
      </c>
      <c r="I52">
        <f>$C52*INDEX(Final!J:J,MATCH(Полуфабрикат!$B52,Final!$B:$B,0))/INDEX(Final!$T:$T,MATCH(Полуфабрикат!$B52,Final!$B:$B,0))</f>
        <v>7.1078792341678937E-2</v>
      </c>
      <c r="J52">
        <f>$C52*INDEX(Final!K:K,MATCH(Полуфабрикат!$B52,Final!$B:$B,0))/INDEX(Final!$T:$T,MATCH(Полуфабрикат!$B52,Final!$B:$B,0))</f>
        <v>4.118924889543446E-2</v>
      </c>
      <c r="K52">
        <f>$C52*INDEX(Final!M:M,MATCH(Полуфабрикат!$B52,Final!$B:$B,0))/INDEX(Final!$T:$T,MATCH(Полуфабрикат!$B52,Final!$B:$B,0))</f>
        <v>4.7385861561119293E-3</v>
      </c>
      <c r="L52">
        <f>$C52*INDEX(Final!N:N,MATCH(Полуфабрикат!$B52,Final!$B:$B,0))/INDEX(Final!$T:$T,MATCH(Полуфабрикат!$B52,Final!$B:$B,0))</f>
        <v>0.11737113402061855</v>
      </c>
      <c r="M52">
        <f>$C52*INDEX(Final!O:O,MATCH(Полуфабрикат!$B52,Final!$B:$B,0))/INDEX(Final!$T:$T,MATCH(Полуфабрикат!$B52,Final!$B:$B,0))</f>
        <v>0.20412371134020618</v>
      </c>
      <c r="N52">
        <f>$C52*INDEX(Final!P:P,MATCH(Полуфабрикат!$B52,Final!$B:$B,0))/INDEX(Final!$T:$T,MATCH(Полуфабрикат!$B52,Final!$B:$B,0))</f>
        <v>8.8939617083946987E-2</v>
      </c>
      <c r="O52">
        <f>$C52*INDEX(Final!Q:Q,MATCH(Полуфабрикат!$B52,Final!$B:$B,0))/INDEX(Final!$T:$T,MATCH(Полуфабрикат!$B52,Final!$B:$B,0))</f>
        <v>6.160162002945508E-2</v>
      </c>
      <c r="P52">
        <f>$C52*INDEX(Final!R:R,MATCH(Полуфабрикат!$B52,Final!$B:$B,0))/INDEX(Final!$T:$T,MATCH(Полуфабрикат!$B52,Final!$B:$B,0))</f>
        <v>4.8114874815905741E-2</v>
      </c>
      <c r="Q52" t="b">
        <f t="shared" si="2"/>
        <v>0</v>
      </c>
      <c r="R52">
        <f>INDEX(Final!$BJ:$BJ,MATCH(Полуфабрикат!$B52,Final!$B:$B,0))/INDEX(Final!$AX:$AX,MATCH(Полуфабрикат!$B52,Final!$B:$B,0))</f>
        <v>0.4073210054708653</v>
      </c>
      <c r="S52">
        <f>INDEX(Final!$BE:$BE,MATCH(Полуфабрикат!$B52,Final!$B:$B,0))/INDEX(Final!$AX:$AX,MATCH(Полуфабрикат!$B52,Final!$B:$B,0))</f>
        <v>0.37930371853579892</v>
      </c>
      <c r="T52">
        <f>INDEX(Final!$AY:$AY,MATCH(Полуфабрикат!$B52,Final!$B:$B,0))/INDEX(Final!$AX:$AX,MATCH(Полуфабрикат!$B52,Final!$B:$B,0))</f>
        <v>0.12666196509176719</v>
      </c>
      <c r="U52">
        <f>INDEX(Final!$BL:$BL,MATCH(Полуфабрикат!$B52,Final!$B:$B,0))/INDEX(Final!$AX:$AX,MATCH(Полуфабрикат!$B52,Final!$B:$B,0))</f>
        <v>8.671138927695031E-2</v>
      </c>
      <c r="V52" t="b">
        <f t="shared" si="3"/>
        <v>1</v>
      </c>
      <c r="W52">
        <f t="shared" si="4"/>
        <v>0.40732178819044107</v>
      </c>
      <c r="X52">
        <f t="shared" si="5"/>
        <v>0.37930444741656288</v>
      </c>
      <c r="Y52">
        <f t="shared" si="6"/>
        <v>0.12666220848898524</v>
      </c>
      <c r="Z52">
        <f t="shared" si="7"/>
        <v>8.6711555904010834E-2</v>
      </c>
    </row>
    <row r="53" spans="1:26" x14ac:dyDescent="0.25">
      <c r="A53" t="s">
        <v>294</v>
      </c>
      <c r="B53" t="s">
        <v>38</v>
      </c>
      <c r="C53">
        <f>INDEX(Final!$E:$E, MATCH(Полуфабрикат!$B53,Final!$B:$B,0))</f>
        <v>0.47</v>
      </c>
      <c r="D53" t="b">
        <f t="shared" si="1"/>
        <v>1</v>
      </c>
      <c r="E53">
        <f>$C53*INDEX(Final!F:F,MATCH(Полуфабрикат!$B53,Final!$B:$B,0))/INDEX(Final!$T:$T,MATCH(Полуфабрикат!$B53,Final!$B:$B,0))</f>
        <v>5.9845384265575265E-3</v>
      </c>
      <c r="F53">
        <f>$C53*INDEX(Final!G:G,MATCH(Полуфабрикат!$B53,Final!$B:$B,0))/INDEX(Final!$T:$T,MATCH(Полуфабрикат!$B53,Final!$B:$B,0))</f>
        <v>6.8394724874943158E-3</v>
      </c>
      <c r="G53">
        <f>$C53*INDEX(Final!H:H,MATCH(Полуфабрикат!$B53,Final!$B:$B,0))/INDEX(Final!$T:$T,MATCH(Полуфабрикат!$B53,Final!$B:$B,0))</f>
        <v>1.9877216916780356E-2</v>
      </c>
      <c r="H53">
        <f>$C53*INDEX(Final!I:I,MATCH(Полуфабрикат!$B53,Final!$B:$B,0))/INDEX(Final!$T:$T,MATCH(Полуфабрикат!$B53,Final!$B:$B,0))</f>
        <v>1.944974988631196E-2</v>
      </c>
      <c r="I53">
        <f>$C53*INDEX(Final!J:J,MATCH(Полуфабрикат!$B53,Final!$B:$B,0))/INDEX(Final!$T:$T,MATCH(Полуфабрикат!$B53,Final!$B:$B,0))</f>
        <v>3.0136425648021829E-2</v>
      </c>
      <c r="J53">
        <f>$C53*INDEX(Final!K:K,MATCH(Полуфабрикат!$B53,Final!$B:$B,0))/INDEX(Final!$T:$T,MATCH(Полуфабрикат!$B53,Final!$B:$B,0))</f>
        <v>4.3815370623010462E-2</v>
      </c>
      <c r="K53">
        <f>$C53*INDEX(Final!M:M,MATCH(Полуфабрикат!$B53,Final!$B:$B,0))/INDEX(Final!$T:$T,MATCH(Полуфабрикат!$B53,Final!$B:$B,0))</f>
        <v>4.9158708503865391E-3</v>
      </c>
      <c r="L53">
        <f>$C53*INDEX(Final!N:N,MATCH(Полуфабрикат!$B53,Final!$B:$B,0))/INDEX(Final!$T:$T,MATCH(Полуфабрикат!$B53,Final!$B:$B,0))</f>
        <v>2.5006821282401091E-2</v>
      </c>
      <c r="M53">
        <f>$C53*INDEX(Final!O:O,MATCH(Полуфабрикат!$B53,Final!$B:$B,0))/INDEX(Final!$T:$T,MATCH(Полуфабрикат!$B53,Final!$B:$B,0))</f>
        <v>7.9508867667121425E-2</v>
      </c>
      <c r="N53">
        <f>$C53*INDEX(Final!P:P,MATCH(Полуфабрикат!$B53,Final!$B:$B,0))/INDEX(Final!$T:$T,MATCH(Полуфабрикат!$B53,Final!$B:$B,0))</f>
        <v>5.6853115052296496E-2</v>
      </c>
      <c r="O53">
        <f>$C53*INDEX(Final!Q:Q,MATCH(Полуфабрикат!$B53,Final!$B:$B,0))/INDEX(Final!$T:$T,MATCH(Полуфабрикат!$B53,Final!$B:$B,0))</f>
        <v>6.9463392451114145E-2</v>
      </c>
      <c r="P53">
        <f>$C53*INDEX(Final!R:R,MATCH(Полуфабрикат!$B53,Final!$B:$B,0))/INDEX(Final!$T:$T,MATCH(Полуфабрикат!$B53,Final!$B:$B,0))</f>
        <v>0.10814915870850386</v>
      </c>
      <c r="Q53" t="b">
        <f t="shared" si="2"/>
        <v>1</v>
      </c>
      <c r="R53">
        <f>INDEX(Final!$BJ:$BJ,MATCH(Полуфабрикат!$B53,Final!$B:$B,0))/INDEX(Final!$AX:$AX,MATCH(Полуфабрикат!$B53,Final!$B:$B,0))</f>
        <v>0.44493409081036206</v>
      </c>
      <c r="S53">
        <f>INDEX(Final!$BE:$BE,MATCH(Полуфабрикат!$B53,Final!$B:$B,0))/INDEX(Final!$AX:$AX,MATCH(Полуфабрикат!$B53,Final!$B:$B,0))</f>
        <v>0.16518083396483235</v>
      </c>
      <c r="T53">
        <f>INDEX(Final!$AY:$AY,MATCH(Полуфабрикат!$B53,Final!$B:$B,0))/INDEX(Final!$AX:$AX,MATCH(Полуфабрикат!$B53,Final!$B:$B,0))</f>
        <v>0.28800538021067129</v>
      </c>
      <c r="U53">
        <f>INDEX(Final!$BL:$BL,MATCH(Полуфабрикат!$B53,Final!$B:$B,0))/INDEX(Final!$AX:$AX,MATCH(Полуфабрикат!$B53,Final!$B:$B,0))</f>
        <v>0.10187969501413431</v>
      </c>
      <c r="V53" t="b">
        <f t="shared" si="3"/>
        <v>1</v>
      </c>
      <c r="W53">
        <f t="shared" si="4"/>
        <v>0.44493409081036206</v>
      </c>
      <c r="X53">
        <f t="shared" si="5"/>
        <v>0.16518083396483235</v>
      </c>
      <c r="Y53">
        <f t="shared" si="6"/>
        <v>0.28800538021067129</v>
      </c>
      <c r="Z53">
        <f t="shared" si="7"/>
        <v>0.10187969501413431</v>
      </c>
    </row>
    <row r="54" spans="1:26" x14ac:dyDescent="0.25">
      <c r="A54" t="s">
        <v>295</v>
      </c>
      <c r="B54" t="s">
        <v>8</v>
      </c>
      <c r="C54">
        <f>INDEX(Final!$E:$E, MATCH(Полуфабрикат!$B54,Final!$B:$B,0))</f>
        <v>0.94</v>
      </c>
      <c r="D54" t="b">
        <f t="shared" si="1"/>
        <v>1</v>
      </c>
      <c r="E54">
        <f>$C54*INDEX(Final!F:F,MATCH(Полуфабрикат!$B54,Final!$B:$B,0))/INDEX(Final!$T:$T,MATCH(Полуфабрикат!$B54,Final!$B:$B,0))</f>
        <v>2.4725997369574749E-3</v>
      </c>
      <c r="F54">
        <f>$C54*INDEX(Final!G:G,MATCH(Полуфабрикат!$B54,Final!$B:$B,0))/INDEX(Final!$T:$T,MATCH(Полуфабрикат!$B54,Final!$B:$B,0))</f>
        <v>4.8215694870670761E-2</v>
      </c>
      <c r="G54">
        <f>$C54*INDEX(Final!H:H,MATCH(Полуфабрикат!$B54,Final!$B:$B,0))/INDEX(Final!$T:$T,MATCH(Полуфабрикат!$B54,Final!$B:$B,0))</f>
        <v>0.16772468215694872</v>
      </c>
      <c r="H54">
        <f>$C54*INDEX(Final!I:I,MATCH(Полуфабрикат!$B54,Final!$B:$B,0))/INDEX(Final!$T:$T,MATCH(Полуфабрикат!$B54,Final!$B:$B,0))</f>
        <v>9.8903989478298995E-2</v>
      </c>
      <c r="I54">
        <f>$C54*INDEX(Final!J:J,MATCH(Полуфабрикат!$B54,Final!$B:$B,0))/INDEX(Final!$T:$T,MATCH(Полуфабрикат!$B54,Final!$B:$B,0))</f>
        <v>7.9947391494958345E-2</v>
      </c>
      <c r="J54">
        <f>$C54*INDEX(Final!K:K,MATCH(Полуфабрикат!$B54,Final!$B:$B,0))/INDEX(Final!$T:$T,MATCH(Полуфабрикат!$B54,Final!$B:$B,0))</f>
        <v>5.398509425690487E-2</v>
      </c>
      <c r="K54">
        <f>$C54*INDEX(Final!M:M,MATCH(Полуфабрикат!$B54,Final!$B:$B,0))/INDEX(Final!$T:$T,MATCH(Полуфабрикат!$B54,Final!$B:$B,0))</f>
        <v>2.4725997369574749E-3</v>
      </c>
      <c r="L54">
        <f>$C54*INDEX(Final!N:N,MATCH(Полуфабрикат!$B54,Final!$B:$B,0))/INDEX(Final!$T:$T,MATCH(Полуфабрикат!$B54,Final!$B:$B,0))</f>
        <v>5.4809294169224025E-2</v>
      </c>
      <c r="M54">
        <f>$C54*INDEX(Final!O:O,MATCH(Полуфабрикат!$B54,Final!$B:$B,0))/INDEX(Final!$T:$T,MATCH(Полуфабрикат!$B54,Final!$B:$B,0))</f>
        <v>0.19698377904427883</v>
      </c>
      <c r="N54">
        <f>$C54*INDEX(Final!P:P,MATCH(Полуфабрикат!$B54,Final!$B:$B,0))/INDEX(Final!$T:$T,MATCH(Полуфабрикат!$B54,Final!$B:$B,0))</f>
        <v>0.11003068829460763</v>
      </c>
      <c r="O54">
        <f>$C54*INDEX(Final!Q:Q,MATCH(Полуфабрикат!$B54,Final!$B:$B,0))/INDEX(Final!$T:$T,MATCH(Полуфабрикат!$B54,Final!$B:$B,0))</f>
        <v>7.4590092064883817E-2</v>
      </c>
      <c r="P54">
        <f>$C54*INDEX(Final!R:R,MATCH(Полуфабрикат!$B54,Final!$B:$B,0))/INDEX(Final!$T:$T,MATCH(Полуфабрикат!$B54,Final!$B:$B,0))</f>
        <v>5.0276194651468653E-2</v>
      </c>
      <c r="Q54" t="b">
        <f t="shared" si="2"/>
        <v>0</v>
      </c>
      <c r="R54">
        <f>INDEX(Final!$BJ:$BJ,MATCH(Полуфабрикат!$B54,Final!$B:$B,0))/INDEX(Final!$AX:$AX,MATCH(Полуфабрикат!$B54,Final!$B:$B,0))</f>
        <v>0.59777327571289562</v>
      </c>
      <c r="S54">
        <f>INDEX(Final!$BE:$BE,MATCH(Полуфабрикат!$B54,Final!$B:$B,0))/INDEX(Final!$AX:$AX,MATCH(Полуфабрикат!$B54,Final!$B:$B,0))</f>
        <v>7.2432306098462629E-2</v>
      </c>
      <c r="T54">
        <f>INDEX(Final!$AY:$AY,MATCH(Полуфабрикат!$B54,Final!$B:$B,0))/INDEX(Final!$AX:$AX,MATCH(Полуфабрикат!$B54,Final!$B:$B,0))</f>
        <v>0.11274413963742272</v>
      </c>
      <c r="U54">
        <f>INDEX(Final!$BL:$BL,MATCH(Полуфабрикат!$B54,Final!$B:$B,0))/INDEX(Final!$AX:$AX,MATCH(Полуфабрикат!$B54,Final!$B:$B,0))</f>
        <v>0.21705084037295974</v>
      </c>
      <c r="V54" t="b">
        <f t="shared" si="3"/>
        <v>1</v>
      </c>
      <c r="W54">
        <f t="shared" si="4"/>
        <v>0.59777293987106206</v>
      </c>
      <c r="X54">
        <f t="shared" si="5"/>
        <v>7.2432265404441198E-2</v>
      </c>
      <c r="Y54">
        <f t="shared" si="6"/>
        <v>0.11274407629534952</v>
      </c>
      <c r="Z54">
        <f t="shared" si="7"/>
        <v>0.2170507184291473</v>
      </c>
    </row>
    <row r="55" spans="1:26" x14ac:dyDescent="0.25">
      <c r="A55" t="s">
        <v>296</v>
      </c>
      <c r="B55" t="s">
        <v>48</v>
      </c>
      <c r="C55">
        <f>INDEX(Final!$E:$E, MATCH(Полуфабрикат!$B55,Final!$B:$B,0))</f>
        <v>0.96</v>
      </c>
      <c r="D55" t="b">
        <f t="shared" si="1"/>
        <v>1</v>
      </c>
      <c r="E55">
        <f>$C55*INDEX(Final!F:F,MATCH(Полуфабрикат!$B55,Final!$B:$B,0))/INDEX(Final!$T:$T,MATCH(Полуфабрикат!$B55,Final!$B:$B,0))</f>
        <v>3.8425617078052033E-3</v>
      </c>
      <c r="F55">
        <f>$C55*INDEX(Final!G:G,MATCH(Полуфабрикат!$B55,Final!$B:$B,0))/INDEX(Final!$T:$T,MATCH(Полуфабрикат!$B55,Final!$B:$B,0))</f>
        <v>8.9659773182121406E-3</v>
      </c>
      <c r="G55">
        <f>$C55*INDEX(Final!H:H,MATCH(Полуфабрикат!$B55,Final!$B:$B,0))/INDEX(Final!$T:$T,MATCH(Полуфабрикат!$B55,Final!$B:$B,0))</f>
        <v>4.2588392261507672E-2</v>
      </c>
      <c r="H55">
        <f>$C55*INDEX(Final!I:I,MATCH(Полуфабрикат!$B55,Final!$B:$B,0))/INDEX(Final!$T:$T,MATCH(Полуфабрикат!$B55,Final!$B:$B,0))</f>
        <v>5.6677785190126749E-2</v>
      </c>
      <c r="I55">
        <f>$C55*INDEX(Final!J:J,MATCH(Полуфабрикат!$B55,Final!$B:$B,0))/INDEX(Final!$T:$T,MATCH(Полуфабрикат!$B55,Final!$B:$B,0))</f>
        <v>7.5250166777851901E-2</v>
      </c>
      <c r="J55">
        <f>$C55*INDEX(Final!K:K,MATCH(Полуфабрикат!$B55,Final!$B:$B,0))/INDEX(Final!$T:$T,MATCH(Полуфабрикат!$B55,Final!$B:$B,0))</f>
        <v>7.8132088058705806E-2</v>
      </c>
      <c r="K55">
        <f>$C55*INDEX(Final!M:M,MATCH(Полуфабрикат!$B55,Final!$B:$B,0))/INDEX(Final!$T:$T,MATCH(Полуфабрикат!$B55,Final!$B:$B,0))</f>
        <v>8.3255503669112749E-3</v>
      </c>
      <c r="L55">
        <f>$C55*INDEX(Final!N:N,MATCH(Полуфабрикат!$B55,Final!$B:$B,0))/INDEX(Final!$T:$T,MATCH(Полуфабрикат!$B55,Final!$B:$B,0))</f>
        <v>2.9779853235490327E-2</v>
      </c>
      <c r="M55">
        <f>$C55*INDEX(Final!O:O,MATCH(Полуфабрикат!$B55,Final!$B:$B,0))/INDEX(Final!$T:$T,MATCH(Полуфабрикат!$B55,Final!$B:$B,0))</f>
        <v>0.13032688458972649</v>
      </c>
      <c r="N55">
        <f>$C55*INDEX(Final!P:P,MATCH(Полуфабрикат!$B55,Final!$B:$B,0))/INDEX(Final!$T:$T,MATCH(Полуфабрикат!$B55,Final!$B:$B,0))</f>
        <v>0.14249499666444296</v>
      </c>
      <c r="O55">
        <f>$C55*INDEX(Final!Q:Q,MATCH(Полуфабрикат!$B55,Final!$B:$B,0))/INDEX(Final!$T:$T,MATCH(Полуфабрикат!$B55,Final!$B:$B,0))</f>
        <v>0.1693929286190794</v>
      </c>
      <c r="P55">
        <f>$C55*INDEX(Final!R:R,MATCH(Полуфабрикат!$B55,Final!$B:$B,0))/INDEX(Final!$T:$T,MATCH(Полуфабрикат!$B55,Final!$B:$B,0))</f>
        <v>0.21390260173448966</v>
      </c>
      <c r="Q55" t="b">
        <f t="shared" si="2"/>
        <v>1</v>
      </c>
      <c r="R55">
        <f>INDEX(Final!$BJ:$BJ,MATCH(Полуфабрикат!$B55,Final!$B:$B,0))/INDEX(Final!$AX:$AX,MATCH(Полуфабрикат!$B55,Final!$B:$B,0))</f>
        <v>0.15375863917645738</v>
      </c>
      <c r="S55">
        <f>INDEX(Final!$BE:$BE,MATCH(Полуфабрикат!$B55,Final!$B:$B,0))/INDEX(Final!$AX:$AX,MATCH(Полуфабрикат!$B55,Final!$B:$B,0))</f>
        <v>0.48956961004741939</v>
      </c>
      <c r="T55">
        <f>INDEX(Final!$AY:$AY,MATCH(Полуфабрикат!$B55,Final!$B:$B,0))/INDEX(Final!$AX:$AX,MATCH(Полуфабрикат!$B55,Final!$B:$B,0))</f>
        <v>0.20955639413346411</v>
      </c>
      <c r="U55">
        <f>INDEX(Final!$BL:$BL,MATCH(Полуфабрикат!$B55,Final!$B:$B,0))/INDEX(Final!$AX:$AX,MATCH(Полуфабрикат!$B55,Final!$B:$B,0))</f>
        <v>0.14711535664265915</v>
      </c>
      <c r="V55" t="b">
        <f t="shared" si="3"/>
        <v>1</v>
      </c>
      <c r="W55">
        <f t="shared" si="4"/>
        <v>0.15375863917645738</v>
      </c>
      <c r="X55">
        <f t="shared" si="5"/>
        <v>0.48956961004741939</v>
      </c>
      <c r="Y55">
        <f t="shared" si="6"/>
        <v>0.20955639413346411</v>
      </c>
      <c r="Z55">
        <f t="shared" si="7"/>
        <v>0.14711535664265915</v>
      </c>
    </row>
    <row r="56" spans="1:26" x14ac:dyDescent="0.25">
      <c r="A56" t="s">
        <v>297</v>
      </c>
      <c r="B56" t="s">
        <v>31</v>
      </c>
      <c r="C56">
        <f>INDEX(Final!$E:$E, MATCH(Полуфабрикат!$B56,Final!$B:$B,0))</f>
        <v>8.48</v>
      </c>
      <c r="D56" t="b">
        <f t="shared" si="1"/>
        <v>1</v>
      </c>
      <c r="E56">
        <f>$C56*INDEX(Final!F:F,MATCH(Полуфабрикат!$B56,Final!$B:$B,0))/INDEX(Final!$T:$T,MATCH(Полуфабрикат!$B56,Final!$B:$B,0))</f>
        <v>0.91994004596476031</v>
      </c>
      <c r="F56">
        <f>$C56*INDEX(Final!G:G,MATCH(Полуфабрикат!$B56,Final!$B:$B,0))/INDEX(Final!$T:$T,MATCH(Полуфабрикат!$B56,Final!$B:$B,0))</f>
        <v>0</v>
      </c>
      <c r="G56">
        <f>$C56*INDEX(Final!H:H,MATCH(Полуфабрикат!$B56,Final!$B:$B,0))/INDEX(Final!$T:$T,MATCH(Полуфабрикат!$B56,Final!$B:$B,0))</f>
        <v>0</v>
      </c>
      <c r="H56">
        <f>$C56*INDEX(Final!I:I,MATCH(Полуфабрикат!$B56,Final!$B:$B,0))/INDEX(Final!$T:$T,MATCH(Полуфабрикат!$B56,Final!$B:$B,0))</f>
        <v>0</v>
      </c>
      <c r="I56">
        <f>$C56*INDEX(Final!J:J,MATCH(Полуфабрикат!$B56,Final!$B:$B,0))/INDEX(Final!$T:$T,MATCH(Полуфабрикат!$B56,Final!$B:$B,0))</f>
        <v>0</v>
      </c>
      <c r="J56">
        <f>$C56*INDEX(Final!K:K,MATCH(Полуфабрикат!$B56,Final!$B:$B,0))/INDEX(Final!$T:$T,MATCH(Полуфабрикат!$B56,Final!$B:$B,0))</f>
        <v>0</v>
      </c>
      <c r="K56">
        <f>$C56*INDEX(Final!M:M,MATCH(Полуфабрикат!$B56,Final!$B:$B,0))/INDEX(Final!$T:$T,MATCH(Полуфабрикат!$B56,Final!$B:$B,0))</f>
        <v>0.88717583186223892</v>
      </c>
      <c r="L56">
        <f>$C56*INDEX(Final!N:N,MATCH(Полуфабрикат!$B56,Final!$B:$B,0))/INDEX(Final!$T:$T,MATCH(Полуфабрикат!$B56,Final!$B:$B,0))</f>
        <v>4.8714172467774706</v>
      </c>
      <c r="M56">
        <f>$C56*INDEX(Final!O:O,MATCH(Полуфабрикат!$B56,Final!$B:$B,0))/INDEX(Final!$T:$T,MATCH(Полуфабрикат!$B56,Final!$B:$B,0))</f>
        <v>1.8014668753955301</v>
      </c>
      <c r="N56">
        <f>$C56*INDEX(Final!P:P,MATCH(Полуфабрикат!$B56,Final!$B:$B,0))/INDEX(Final!$T:$T,MATCH(Полуфабрикат!$B56,Final!$B:$B,0))</f>
        <v>0</v>
      </c>
      <c r="O56">
        <f>$C56*INDEX(Final!Q:Q,MATCH(Полуфабрикат!$B56,Final!$B:$B,0))/INDEX(Final!$T:$T,MATCH(Полуфабрикат!$B56,Final!$B:$B,0))</f>
        <v>0</v>
      </c>
      <c r="P56">
        <f>$C56*INDEX(Final!R:R,MATCH(Полуфабрикат!$B56,Final!$B:$B,0))/INDEX(Final!$T:$T,MATCH(Полуфабрикат!$B56,Final!$B:$B,0))</f>
        <v>0</v>
      </c>
      <c r="Q56" t="b">
        <f t="shared" si="2"/>
        <v>0</v>
      </c>
      <c r="R56">
        <f>INDEX(Final!$BJ:$BJ,MATCH(Полуфабрикат!$B56,Final!$B:$B,0))/INDEX(Final!$AX:$AX,MATCH(Полуфабрикат!$B56,Final!$B:$B,0))</f>
        <v>0.1288283238534555</v>
      </c>
      <c r="S56">
        <f>INDEX(Final!$BE:$BE,MATCH(Полуфабрикат!$B56,Final!$B:$B,0))/INDEX(Final!$AX:$AX,MATCH(Полуфабрикат!$B56,Final!$B:$B,0))</f>
        <v>0.14209708987659311</v>
      </c>
      <c r="T56">
        <f>INDEX(Final!$AY:$AY,MATCH(Полуфабрикат!$B56,Final!$B:$B,0))/INDEX(Final!$AX:$AX,MATCH(Полуфабрикат!$B56,Final!$B:$B,0))</f>
        <v>0.25972414933794002</v>
      </c>
      <c r="U56">
        <f>INDEX(Final!$BL:$BL,MATCH(Полуфабрикат!$B56,Final!$B:$B,0))/INDEX(Final!$AX:$AX,MATCH(Полуфабрикат!$B56,Final!$B:$B,0))</f>
        <v>0.46935962582814927</v>
      </c>
      <c r="V56" t="b">
        <f t="shared" si="3"/>
        <v>1</v>
      </c>
      <c r="W56">
        <f t="shared" si="4"/>
        <v>0.12882714007424562</v>
      </c>
      <c r="X56">
        <f t="shared" si="5"/>
        <v>0.14209578417319074</v>
      </c>
      <c r="Y56">
        <f t="shared" si="6"/>
        <v>0.25972176278163711</v>
      </c>
      <c r="Z56">
        <f t="shared" si="7"/>
        <v>0.4693553129709267</v>
      </c>
    </row>
    <row r="57" spans="1:26" x14ac:dyDescent="0.25">
      <c r="A57" t="s">
        <v>298</v>
      </c>
      <c r="B57" t="s">
        <v>191</v>
      </c>
      <c r="C57">
        <f>INDEX(Final!$E:$E, MATCH(Полуфабрикат!$B57,Final!$B:$B,0))</f>
        <v>0.95</v>
      </c>
      <c r="D57" t="b">
        <f t="shared" si="1"/>
        <v>1</v>
      </c>
      <c r="E57">
        <f>$C57*INDEX(Final!F:F,MATCH(Полуфабрикат!$B57,Final!$B:$B,0))/INDEX(Final!$T:$T,MATCH(Полуфабрикат!$B57,Final!$B:$B,0))</f>
        <v>0</v>
      </c>
      <c r="F57">
        <f>$C57*INDEX(Final!G:G,MATCH(Полуфабрикат!$B57,Final!$B:$B,0))/INDEX(Final!$T:$T,MATCH(Полуфабрикат!$B57,Final!$B:$B,0))</f>
        <v>1.3512860348696703E-2</v>
      </c>
      <c r="G57">
        <f>$C57*INDEX(Final!H:H,MATCH(Полуфабрикат!$B57,Final!$B:$B,0))/INDEX(Final!$T:$T,MATCH(Полуфабрикат!$B57,Final!$B:$B,0))</f>
        <v>7.6124633177973411E-2</v>
      </c>
      <c r="H57">
        <f>$C57*INDEX(Final!I:I,MATCH(Полуфабрикат!$B57,Final!$B:$B,0))/INDEX(Final!$T:$T,MATCH(Полуфабрикат!$B57,Final!$B:$B,0))</f>
        <v>7.1893664767823232E-2</v>
      </c>
      <c r="I57">
        <f>$C57*INDEX(Final!J:J,MATCH(Полуфабрикат!$B57,Final!$B:$B,0))/INDEX(Final!$T:$T,MATCH(Полуфабрикат!$B57,Final!$B:$B,0))</f>
        <v>8.3799413084757468E-2</v>
      </c>
      <c r="J57">
        <f>$C57*INDEX(Final!K:K,MATCH(Полуфабрикат!$B57,Final!$B:$B,0))/INDEX(Final!$T:$T,MATCH(Полуфабрикат!$B57,Final!$B:$B,0))</f>
        <v>0.10223200414293113</v>
      </c>
      <c r="K57">
        <f>$C57*INDEX(Final!M:M,MATCH(Полуфабрикат!$B57,Final!$B:$B,0))/INDEX(Final!$T:$T,MATCH(Полуфабрикат!$B57,Final!$B:$B,0))</f>
        <v>0</v>
      </c>
      <c r="L57">
        <f>$C57*INDEX(Final!N:N,MATCH(Полуфабрикат!$B57,Final!$B:$B,0))/INDEX(Final!$T:$T,MATCH(Полуфабрикат!$B57,Final!$B:$B,0))</f>
        <v>1.7645434144657347E-2</v>
      </c>
      <c r="M57">
        <f>$C57*INDEX(Final!O:O,MATCH(Полуфабрикат!$B57,Final!$B:$B,0))/INDEX(Final!$T:$T,MATCH(Полуфабрикат!$B57,Final!$B:$B,0))</f>
        <v>0.10875884688417055</v>
      </c>
      <c r="N57">
        <f>$C57*INDEX(Final!P:P,MATCH(Полуфабрикат!$B57,Final!$B:$B,0))/INDEX(Final!$T:$T,MATCH(Полуфабрикат!$B57,Final!$B:$B,0))</f>
        <v>0.10948040738822717</v>
      </c>
      <c r="O57">
        <f>$C57*INDEX(Final!Q:Q,MATCH(Полуфабрикат!$B57,Final!$B:$B,0))/INDEX(Final!$T:$T,MATCH(Полуфабрикат!$B57,Final!$B:$B,0))</f>
        <v>0.13689970654237874</v>
      </c>
      <c r="P57">
        <f>$C57*INDEX(Final!R:R,MATCH(Полуфабрикат!$B57,Final!$B:$B,0))/INDEX(Final!$T:$T,MATCH(Полуфабрикат!$B57,Final!$B:$B,0))</f>
        <v>0.22962023131365442</v>
      </c>
      <c r="Q57" t="b">
        <f t="shared" si="2"/>
        <v>0</v>
      </c>
      <c r="R57">
        <f>INDEX(Final!$BJ:$BJ,MATCH(Полуфабрикат!$B57,Final!$B:$B,0))/INDEX(Final!$AX:$AX,MATCH(Полуфабрикат!$B57,Final!$B:$B,0))</f>
        <v>0.73723053866127597</v>
      </c>
      <c r="S57">
        <f>INDEX(Final!$BE:$BE,MATCH(Полуфабрикат!$B57,Final!$B:$B,0))/INDEX(Final!$AX:$AX,MATCH(Полуфабрикат!$B57,Final!$B:$B,0))</f>
        <v>0.11536953453113291</v>
      </c>
      <c r="T57">
        <f>INDEX(Final!$AY:$AY,MATCH(Полуфабрикат!$B57,Final!$B:$B,0))/INDEX(Final!$AX:$AX,MATCH(Полуфабрикат!$B57,Final!$B:$B,0))</f>
        <v>0.11756530679818064</v>
      </c>
      <c r="U57">
        <f>INDEX(Final!$BL:$BL,MATCH(Полуфабрикат!$B57,Final!$B:$B,0))/INDEX(Final!$AX:$AX,MATCH(Полуфабрикат!$B57,Final!$B:$B,0))</f>
        <v>2.9830263318404406E-2</v>
      </c>
      <c r="V57" t="b">
        <f t="shared" si="3"/>
        <v>1</v>
      </c>
      <c r="W57">
        <f t="shared" si="4"/>
        <v>0.73723375056092644</v>
      </c>
      <c r="X57">
        <f t="shared" si="5"/>
        <v>0.11537003716273619</v>
      </c>
      <c r="Y57">
        <f t="shared" si="6"/>
        <v>0.11756581899612688</v>
      </c>
      <c r="Z57">
        <f t="shared" si="7"/>
        <v>2.9830393280210518E-2</v>
      </c>
    </row>
    <row r="58" spans="1:26" x14ac:dyDescent="0.25">
      <c r="A58" t="s">
        <v>299</v>
      </c>
      <c r="B58" t="s">
        <v>28</v>
      </c>
      <c r="C58">
        <f>INDEX(Final!$E:$E, MATCH(Полуфабрикат!$B58,Final!$B:$B,0))</f>
        <v>37.409999999999997</v>
      </c>
      <c r="D58" t="b">
        <f t="shared" si="1"/>
        <v>1</v>
      </c>
      <c r="E58">
        <f>$C58*INDEX(Final!F:F,MATCH(Полуфабрикат!$B58,Final!$B:$B,0))/INDEX(Final!$T:$T,MATCH(Полуфабрикат!$B58,Final!$B:$B,0))</f>
        <v>3.1958332965334506</v>
      </c>
      <c r="F58">
        <f>$C58*INDEX(Final!G:G,MATCH(Полуфабрикат!$B58,Final!$B:$B,0))/INDEX(Final!$T:$T,MATCH(Полуфабрикат!$B58,Final!$B:$B,0))</f>
        <v>3.0880389710752922</v>
      </c>
      <c r="G58">
        <f>$C58*INDEX(Final!H:H,MATCH(Полуфабрикат!$B58,Final!$B:$B,0))/INDEX(Final!$T:$T,MATCH(Полуфабрикат!$B58,Final!$B:$B,0))</f>
        <v>4.162678185029808</v>
      </c>
      <c r="H58">
        <f>$C58*INDEX(Final!I:I,MATCH(Полуфабрикат!$B58,Final!$B:$B,0))/INDEX(Final!$T:$T,MATCH(Полуфабрикат!$B58,Final!$B:$B,0))</f>
        <v>2.7233554868624417</v>
      </c>
      <c r="I58">
        <f>$C58*INDEX(Final!J:J,MATCH(Полуфабрикат!$B58,Final!$B:$B,0))/INDEX(Final!$T:$T,MATCH(Полуфабрикат!$B58,Final!$B:$B,0))</f>
        <v>2.6126701258555967</v>
      </c>
      <c r="J58">
        <f>$C58*INDEX(Final!K:K,MATCH(Полуфабрикат!$B58,Final!$B:$B,0))/INDEX(Final!$T:$T,MATCH(Полуфабрикат!$B58,Final!$B:$B,0))</f>
        <v>1.7181011260763963</v>
      </c>
      <c r="K58">
        <f>$C58*INDEX(Final!M:M,MATCH(Полуфабрикат!$B58,Final!$B:$B,0))/INDEX(Final!$T:$T,MATCH(Полуфабрикат!$B58,Final!$B:$B,0))</f>
        <v>2.4181447339368511</v>
      </c>
      <c r="L58">
        <f>$C58*INDEX(Final!N:N,MATCH(Полуфабрикат!$B58,Final!$B:$B,0))/INDEX(Final!$T:$T,MATCH(Полуфабрикат!$B58,Final!$B:$B,0))</f>
        <v>3.6583989843232496</v>
      </c>
      <c r="M58">
        <f>$C58*INDEX(Final!O:O,MATCH(Полуфабрикат!$B58,Final!$B:$B,0))/INDEX(Final!$T:$T,MATCH(Полуфабрикат!$B58,Final!$B:$B,0))</f>
        <v>5.3005071759770361</v>
      </c>
      <c r="N58">
        <f>$C58*INDEX(Final!P:P,MATCH(Полуфабрикат!$B58,Final!$B:$B,0))/INDEX(Final!$T:$T,MATCH(Полуфабрикат!$B58,Final!$B:$B,0))</f>
        <v>3.0037859350850074</v>
      </c>
      <c r="O58">
        <f>$C58*INDEX(Final!Q:Q,MATCH(Полуфабрикат!$B58,Final!$B:$B,0))/INDEX(Final!$T:$T,MATCH(Полуфабрикат!$B58,Final!$B:$B,0))</f>
        <v>2.8749283506292778</v>
      </c>
      <c r="P58">
        <f>$C58*INDEX(Final!R:R,MATCH(Полуфабрикат!$B58,Final!$B:$B,0))/INDEX(Final!$T:$T,MATCH(Полуфабрикат!$B58,Final!$B:$B,0))</f>
        <v>2.6519056083020529</v>
      </c>
      <c r="Q58" t="b">
        <f t="shared" si="2"/>
        <v>0</v>
      </c>
      <c r="R58">
        <f>INDEX(Final!$BJ:$BJ,MATCH(Полуфабрикат!$B58,Final!$B:$B,0))/INDEX(Final!$AX:$AX,MATCH(Полуфабрикат!$B58,Final!$B:$B,0))</f>
        <v>0.66308263369794751</v>
      </c>
      <c r="S58">
        <f>INDEX(Final!$BE:$BE,MATCH(Полуфабрикат!$B58,Final!$B:$B,0))/INDEX(Final!$AX:$AX,MATCH(Полуфабрикат!$B58,Final!$B:$B,0))</f>
        <v>4.990427964956122E-2</v>
      </c>
      <c r="T58">
        <f>INDEX(Final!$AY:$AY,MATCH(Полуфабрикат!$B58,Final!$B:$B,0))/INDEX(Final!$AX:$AX,MATCH(Полуфабрикат!$B58,Final!$B:$B,0))</f>
        <v>0.2735501289667317</v>
      </c>
      <c r="U58">
        <f>INDEX(Final!$BL:$BL,MATCH(Полуфабрикат!$B58,Final!$B:$B,0))/INDEX(Final!$AX:$AX,MATCH(Полуфабрикат!$B58,Final!$B:$B,0))</f>
        <v>1.3461130961514573E-2</v>
      </c>
      <c r="V58" t="b">
        <f t="shared" si="3"/>
        <v>1</v>
      </c>
      <c r="W58">
        <f t="shared" si="4"/>
        <v>0.66308384496928352</v>
      </c>
      <c r="X58">
        <f t="shared" si="5"/>
        <v>4.9904370811085313E-2</v>
      </c>
      <c r="Y58">
        <f t="shared" si="6"/>
        <v>0.27355062866829732</v>
      </c>
      <c r="Z58">
        <f t="shared" si="7"/>
        <v>1.3461155551333783E-2</v>
      </c>
    </row>
    <row r="59" spans="1:26" x14ac:dyDescent="0.25">
      <c r="A59" t="s">
        <v>300</v>
      </c>
      <c r="B59" t="s">
        <v>39</v>
      </c>
      <c r="C59">
        <f>INDEX(Final!$E:$E, MATCH(Полуфабрикат!$B59,Final!$B:$B,0))</f>
        <v>4.3</v>
      </c>
      <c r="D59" t="b">
        <f t="shared" si="1"/>
        <v>1</v>
      </c>
      <c r="E59">
        <f>$C59*INDEX(Final!F:F,MATCH(Полуфабрикат!$B59,Final!$B:$B,0))/INDEX(Final!$T:$T,MATCH(Полуфабрикат!$B59,Final!$B:$B,0))</f>
        <v>9.7909624381405658E-2</v>
      </c>
      <c r="F59">
        <f>$C59*INDEX(Final!G:G,MATCH(Полуфабрикат!$B59,Final!$B:$B,0))/INDEX(Final!$T:$T,MATCH(Полуфабрикат!$B59,Final!$B:$B,0))</f>
        <v>0.14709700100056788</v>
      </c>
      <c r="G59">
        <f>$C59*INDEX(Final!H:H,MATCH(Полуфабрикат!$B59,Final!$B:$B,0))/INDEX(Final!$T:$T,MATCH(Полуфабрикат!$B59,Final!$B:$B,0))</f>
        <v>0.34349766083452771</v>
      </c>
      <c r="H59">
        <f>$C59*INDEX(Final!I:I,MATCH(Полуфабрикат!$B59,Final!$B:$B,0))/INDEX(Final!$T:$T,MATCH(Полуфабрикат!$B59,Final!$B:$B,0))</f>
        <v>0.35942832418399634</v>
      </c>
      <c r="I59">
        <f>$C59*INDEX(Final!J:J,MATCH(Полуфабрикат!$B59,Final!$B:$B,0))/INDEX(Final!$T:$T,MATCH(Полуфабрикат!$B59,Final!$B:$B,0))</f>
        <v>0.51629303117985881</v>
      </c>
      <c r="J59">
        <f>$C59*INDEX(Final!K:K,MATCH(Полуфабрикат!$B59,Final!$B:$B,0))/INDEX(Final!$T:$T,MATCH(Полуфабрикат!$B59,Final!$B:$B,0))</f>
        <v>0.58245761107655691</v>
      </c>
      <c r="K59">
        <f>$C59*INDEX(Final!M:M,MATCH(Полуфабрикат!$B59,Final!$B:$B,0))/INDEX(Final!$T:$T,MATCH(Полуфабрикат!$B59,Final!$B:$B,0))</f>
        <v>7.8606776819275803E-2</v>
      </c>
      <c r="L59">
        <f>$C59*INDEX(Final!N:N,MATCH(Полуфабрикат!$B59,Final!$B:$B,0))/INDEX(Final!$T:$T,MATCH(Полуфабрикат!$B59,Final!$B:$B,0))</f>
        <v>0.17663268341491117</v>
      </c>
      <c r="M59">
        <f>$C59*INDEX(Final!O:O,MATCH(Полуфабрикат!$B59,Final!$B:$B,0))/INDEX(Final!$T:$T,MATCH(Полуфабрикат!$B59,Final!$B:$B,0))</f>
        <v>0.34024175883609614</v>
      </c>
      <c r="N59">
        <f>$C59*INDEX(Final!P:P,MATCH(Полуфабрикат!$B59,Final!$B:$B,0))/INDEX(Final!$T:$T,MATCH(Полуфабрикат!$B59,Final!$B:$B,0))</f>
        <v>0.32338083777278998</v>
      </c>
      <c r="O59">
        <f>$C59*INDEX(Final!Q:Q,MATCH(Полуфабрикат!$B59,Final!$B:$B,0))/INDEX(Final!$T:$T,MATCH(Полуфабрикат!$B59,Final!$B:$B,0))</f>
        <v>0.51047892046837395</v>
      </c>
      <c r="P59">
        <f>$C59*INDEX(Final!R:R,MATCH(Полуфабрикат!$B59,Final!$B:$B,0))/INDEX(Final!$T:$T,MATCH(Полуфабрикат!$B59,Final!$B:$B,0))</f>
        <v>0.82455718110278808</v>
      </c>
      <c r="Q59" t="b">
        <f t="shared" si="2"/>
        <v>1</v>
      </c>
      <c r="R59">
        <f>INDEX(Final!$BJ:$BJ,MATCH(Полуфабрикат!$B59,Final!$B:$B,0))/INDEX(Final!$AX:$AX,MATCH(Полуфабрикат!$B59,Final!$B:$B,0))</f>
        <v>0.37535044408356183</v>
      </c>
      <c r="S59">
        <f>INDEX(Final!$BE:$BE,MATCH(Полуфабрикат!$B59,Final!$B:$B,0))/INDEX(Final!$AX:$AX,MATCH(Полуфабрикат!$B59,Final!$B:$B,0))</f>
        <v>0.20679323952661122</v>
      </c>
      <c r="T59">
        <f>INDEX(Final!$AY:$AY,MATCH(Полуфабрикат!$B59,Final!$B:$B,0))/INDEX(Final!$AX:$AX,MATCH(Полуфабрикат!$B59,Final!$B:$B,0))</f>
        <v>0.26119526775054319</v>
      </c>
      <c r="U59">
        <f>INDEX(Final!$BL:$BL,MATCH(Полуфабрикат!$B59,Final!$B:$B,0))/INDEX(Final!$AX:$AX,MATCH(Полуфабрикат!$B59,Final!$B:$B,0))</f>
        <v>0.15666104863928373</v>
      </c>
      <c r="V59" t="b">
        <f t="shared" si="3"/>
        <v>1</v>
      </c>
      <c r="W59">
        <f t="shared" si="4"/>
        <v>0.37535044408356188</v>
      </c>
      <c r="X59">
        <f t="shared" si="5"/>
        <v>0.20679323952661124</v>
      </c>
      <c r="Y59">
        <f t="shared" si="6"/>
        <v>0.26119526775054325</v>
      </c>
      <c r="Z59">
        <f t="shared" si="7"/>
        <v>0.15666104863928376</v>
      </c>
    </row>
  </sheetData>
  <mergeCells count="3">
    <mergeCell ref="E1:P1"/>
    <mergeCell ref="R1:U1"/>
    <mergeCell ref="W1:Z1"/>
  </mergeCells>
  <conditionalFormatting sqref="D1:D1048576 Q1:Q1048576 V1:V1048576">
    <cfRule type="expression" dxfId="0" priority="2">
      <formula>IF(D1=TRUE,TRUE,FALSE)</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O63"/>
  <sheetViews>
    <sheetView tabSelected="1" topLeftCell="A37" workbookViewId="0">
      <pane xSplit="2" topLeftCell="C1" activePane="topRight" state="frozen"/>
      <selection pane="topRight" activeCell="B67" sqref="B67"/>
    </sheetView>
  </sheetViews>
  <sheetFormatPr defaultColWidth="8.85546875" defaultRowHeight="15" x14ac:dyDescent="0.25"/>
  <cols>
    <col min="1" max="1" width="20.42578125" customWidth="1"/>
    <col min="2" max="2" width="46.42578125" customWidth="1"/>
    <col min="5" max="5" width="16.42578125" customWidth="1"/>
    <col min="21" max="34" width="8.85546875" style="1"/>
    <col min="35" max="48" width="8.85546875" style="2"/>
    <col min="50" max="51" width="17.85546875" style="33" customWidth="1"/>
    <col min="52" max="52" width="11.85546875" customWidth="1"/>
    <col min="53" max="53" width="14.7109375" customWidth="1"/>
    <col min="54" max="54" width="12.5703125" customWidth="1"/>
    <col min="58" max="58" width="13.85546875" customWidth="1"/>
    <col min="59" max="59" width="13.28515625" customWidth="1"/>
    <col min="60" max="60" width="14.5703125" customWidth="1"/>
    <col min="62" max="62" width="12.85546875" customWidth="1"/>
    <col min="63" max="63" width="12.42578125" customWidth="1"/>
    <col min="64" max="64" width="12" customWidth="1"/>
    <col min="65" max="65" width="17.5703125" customWidth="1"/>
    <col min="66" max="79" width="8.85546875" style="1"/>
  </cols>
  <sheetData>
    <row r="1" spans="1:93" ht="60" customHeight="1" x14ac:dyDescent="0.25">
      <c r="C1" s="35" t="s">
        <v>141</v>
      </c>
      <c r="D1" s="36"/>
      <c r="E1" s="37"/>
      <c r="F1" s="38" t="s">
        <v>142</v>
      </c>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W1" s="40" t="s">
        <v>143</v>
      </c>
      <c r="AX1" s="41"/>
      <c r="AY1" s="41"/>
      <c r="AZ1" s="41"/>
      <c r="BA1" s="41"/>
      <c r="BB1" s="41"/>
      <c r="BC1" s="41"/>
      <c r="BD1" s="41"/>
      <c r="BE1" s="41"/>
      <c r="BF1" s="41"/>
      <c r="BG1" s="41"/>
      <c r="BH1" s="41"/>
      <c r="BI1" s="41"/>
      <c r="BJ1" s="41"/>
      <c r="BK1" s="41"/>
      <c r="BL1" s="41"/>
      <c r="BM1" s="41"/>
      <c r="BN1" s="41"/>
      <c r="BO1" s="41"/>
      <c r="BP1" s="41"/>
      <c r="BQ1" s="41"/>
      <c r="BR1" s="41"/>
      <c r="BS1" s="41"/>
      <c r="BT1" s="41"/>
      <c r="BU1" s="41"/>
      <c r="BV1" s="41"/>
      <c r="BW1" s="41"/>
      <c r="BX1" s="41"/>
      <c r="BY1" s="41"/>
      <c r="BZ1" s="41"/>
      <c r="CA1" s="42"/>
    </row>
    <row r="2" spans="1:93" s="9" customFormat="1" ht="90" x14ac:dyDescent="0.25">
      <c r="A2" s="9" t="s">
        <v>243</v>
      </c>
      <c r="B2" s="3" t="s">
        <v>0</v>
      </c>
      <c r="C2" s="4" t="s">
        <v>110</v>
      </c>
      <c r="D2" s="4" t="s">
        <v>111</v>
      </c>
      <c r="E2" s="4" t="s">
        <v>112</v>
      </c>
      <c r="F2" s="10" t="s">
        <v>75</v>
      </c>
      <c r="G2" s="11" t="s">
        <v>51</v>
      </c>
      <c r="H2" s="11" t="s">
        <v>52</v>
      </c>
      <c r="I2" s="11" t="s">
        <v>53</v>
      </c>
      <c r="J2" s="11" t="s">
        <v>54</v>
      </c>
      <c r="K2" s="11" t="s">
        <v>55</v>
      </c>
      <c r="L2" s="11" t="s">
        <v>56</v>
      </c>
      <c r="M2" s="11" t="s">
        <v>57</v>
      </c>
      <c r="N2" s="11" t="s">
        <v>58</v>
      </c>
      <c r="O2" s="11" t="s">
        <v>59</v>
      </c>
      <c r="P2" s="11" t="s">
        <v>60</v>
      </c>
      <c r="Q2" s="11" t="s">
        <v>61</v>
      </c>
      <c r="R2" s="11" t="s">
        <v>62</v>
      </c>
      <c r="S2" s="11" t="s">
        <v>63</v>
      </c>
      <c r="T2" s="11" t="s">
        <v>64</v>
      </c>
      <c r="U2" s="12" t="s">
        <v>65</v>
      </c>
      <c r="V2" s="12" t="s">
        <v>66</v>
      </c>
      <c r="W2" s="12" t="s">
        <v>67</v>
      </c>
      <c r="X2" s="12" t="s">
        <v>68</v>
      </c>
      <c r="Y2" s="12" t="s">
        <v>69</v>
      </c>
      <c r="Z2" s="12" t="s">
        <v>70</v>
      </c>
      <c r="AA2" s="12" t="s">
        <v>71</v>
      </c>
      <c r="AB2" s="12" t="s">
        <v>72</v>
      </c>
      <c r="AC2" s="12" t="s">
        <v>73</v>
      </c>
      <c r="AD2" s="12" t="s">
        <v>74</v>
      </c>
      <c r="AE2" s="12" t="s">
        <v>92</v>
      </c>
      <c r="AF2" s="12" t="s">
        <v>93</v>
      </c>
      <c r="AG2" s="12" t="s">
        <v>94</v>
      </c>
      <c r="AH2" s="12" t="s">
        <v>95</v>
      </c>
      <c r="AI2" s="5" t="s">
        <v>113</v>
      </c>
      <c r="AJ2" s="5" t="s">
        <v>114</v>
      </c>
      <c r="AK2" s="5" t="s">
        <v>115</v>
      </c>
      <c r="AL2" s="5" t="s">
        <v>116</v>
      </c>
      <c r="AM2" s="5" t="s">
        <v>117</v>
      </c>
      <c r="AN2" s="5" t="s">
        <v>118</v>
      </c>
      <c r="AO2" s="5" t="s">
        <v>119</v>
      </c>
      <c r="AP2" s="5" t="s">
        <v>120</v>
      </c>
      <c r="AQ2" s="5" t="s">
        <v>121</v>
      </c>
      <c r="AR2" s="5" t="s">
        <v>122</v>
      </c>
      <c r="AS2" s="5" t="s">
        <v>123</v>
      </c>
      <c r="AT2" s="5" t="s">
        <v>124</v>
      </c>
      <c r="AU2" s="5" t="s">
        <v>125</v>
      </c>
      <c r="AV2" s="5" t="s">
        <v>126</v>
      </c>
      <c r="AW2" s="6" t="s">
        <v>76</v>
      </c>
      <c r="AX2" s="32" t="s">
        <v>77</v>
      </c>
      <c r="AY2" s="32" t="s">
        <v>309</v>
      </c>
      <c r="AZ2" s="6" t="s">
        <v>78</v>
      </c>
      <c r="BA2" s="31" t="s">
        <v>79</v>
      </c>
      <c r="BB2" s="31" t="s">
        <v>80</v>
      </c>
      <c r="BC2" s="31" t="s">
        <v>81</v>
      </c>
      <c r="BD2" s="31" t="s">
        <v>82</v>
      </c>
      <c r="BE2" s="31" t="s">
        <v>83</v>
      </c>
      <c r="BF2" s="31" t="s">
        <v>84</v>
      </c>
      <c r="BG2" s="31" t="s">
        <v>85</v>
      </c>
      <c r="BH2" s="31" t="s">
        <v>86</v>
      </c>
      <c r="BI2" s="31" t="s">
        <v>87</v>
      </c>
      <c r="BJ2" s="6" t="s">
        <v>88</v>
      </c>
      <c r="BK2" s="6" t="s">
        <v>89</v>
      </c>
      <c r="BL2" s="6" t="s">
        <v>90</v>
      </c>
      <c r="BM2" s="6" t="s">
        <v>91</v>
      </c>
      <c r="BN2" s="7" t="s">
        <v>96</v>
      </c>
      <c r="BO2" s="7" t="s">
        <v>97</v>
      </c>
      <c r="BP2" s="7" t="s">
        <v>98</v>
      </c>
      <c r="BQ2" s="7" t="s">
        <v>99</v>
      </c>
      <c r="BR2" s="7" t="s">
        <v>100</v>
      </c>
      <c r="BS2" s="7" t="s">
        <v>101</v>
      </c>
      <c r="BT2" s="7" t="s">
        <v>102</v>
      </c>
      <c r="BU2" s="7" t="s">
        <v>103</v>
      </c>
      <c r="BV2" s="7" t="s">
        <v>104</v>
      </c>
      <c r="BW2" s="7" t="s">
        <v>105</v>
      </c>
      <c r="BX2" s="7" t="s">
        <v>106</v>
      </c>
      <c r="BY2" s="7" t="s">
        <v>107</v>
      </c>
      <c r="BZ2" s="7" t="s">
        <v>108</v>
      </c>
      <c r="CA2" s="7" t="s">
        <v>109</v>
      </c>
      <c r="CB2" s="8" t="s">
        <v>127</v>
      </c>
      <c r="CC2" s="8" t="s">
        <v>128</v>
      </c>
      <c r="CD2" s="8" t="s">
        <v>129</v>
      </c>
      <c r="CE2" s="8" t="s">
        <v>130</v>
      </c>
      <c r="CF2" s="8" t="s">
        <v>131</v>
      </c>
      <c r="CG2" s="8" t="s">
        <v>132</v>
      </c>
      <c r="CH2" s="8" t="s">
        <v>133</v>
      </c>
      <c r="CI2" s="8" t="s">
        <v>134</v>
      </c>
      <c r="CJ2" s="8" t="s">
        <v>135</v>
      </c>
      <c r="CK2" s="8" t="s">
        <v>136</v>
      </c>
      <c r="CL2" s="8" t="s">
        <v>137</v>
      </c>
      <c r="CM2" s="8" t="s">
        <v>138</v>
      </c>
      <c r="CN2" s="8" t="s">
        <v>139</v>
      </c>
      <c r="CO2" s="8" t="s">
        <v>140</v>
      </c>
    </row>
    <row r="3" spans="1:93" x14ac:dyDescent="0.25">
      <c r="A3" s="29">
        <v>2</v>
      </c>
      <c r="B3" t="s">
        <v>1</v>
      </c>
      <c r="C3">
        <v>150434</v>
      </c>
      <c r="D3">
        <v>0.23</v>
      </c>
      <c r="E3">
        <v>1.67</v>
      </c>
      <c r="F3">
        <v>0</v>
      </c>
      <c r="G3">
        <v>700</v>
      </c>
      <c r="H3">
        <v>7700</v>
      </c>
      <c r="I3">
        <v>16500</v>
      </c>
      <c r="J3">
        <v>30400</v>
      </c>
      <c r="K3">
        <v>32300</v>
      </c>
      <c r="L3">
        <v>87500</v>
      </c>
      <c r="M3">
        <v>0</v>
      </c>
      <c r="N3">
        <v>700</v>
      </c>
      <c r="O3">
        <v>7600</v>
      </c>
      <c r="P3">
        <v>12500</v>
      </c>
      <c r="Q3">
        <v>19900</v>
      </c>
      <c r="R3">
        <v>28100</v>
      </c>
      <c r="S3">
        <v>68800</v>
      </c>
      <c r="T3">
        <f t="shared" ref="T3:T34" si="0">L3+S3</f>
        <v>156300</v>
      </c>
      <c r="U3" s="1">
        <f t="shared" ref="U3:U34" si="1">F3/$T3</f>
        <v>0</v>
      </c>
      <c r="V3" s="1">
        <f t="shared" ref="V3:AH3" si="2">G3/$T3</f>
        <v>4.4785668586052466E-3</v>
      </c>
      <c r="W3" s="1">
        <f t="shared" si="2"/>
        <v>4.926423544465771E-2</v>
      </c>
      <c r="X3" s="1">
        <f t="shared" si="2"/>
        <v>0.10556621880998081</v>
      </c>
      <c r="Y3" s="1">
        <f t="shared" si="2"/>
        <v>0.19449776071657071</v>
      </c>
      <c r="Z3" s="1">
        <f t="shared" si="2"/>
        <v>0.20665387076135636</v>
      </c>
      <c r="AA3" s="1">
        <f t="shared" si="2"/>
        <v>0.55982085732565579</v>
      </c>
      <c r="AB3" s="1">
        <f t="shared" si="2"/>
        <v>0</v>
      </c>
      <c r="AC3" s="1">
        <f t="shared" si="2"/>
        <v>4.4785668586052466E-3</v>
      </c>
      <c r="AD3" s="1">
        <f t="shared" si="2"/>
        <v>4.8624440179142678E-2</v>
      </c>
      <c r="AE3" s="1">
        <f t="shared" si="2"/>
        <v>7.9974408189379398E-2</v>
      </c>
      <c r="AF3" s="1">
        <f t="shared" si="2"/>
        <v>0.12731925783749201</v>
      </c>
      <c r="AG3" s="1">
        <f t="shared" si="2"/>
        <v>0.17978246960972488</v>
      </c>
      <c r="AH3" s="1">
        <f t="shared" si="2"/>
        <v>0.44017914267434421</v>
      </c>
      <c r="AI3" s="2">
        <f>U3*$E3</f>
        <v>0</v>
      </c>
      <c r="AJ3" s="2">
        <f t="shared" ref="AJ3:AV3" si="3">V3*$E3</f>
        <v>7.4792066538707618E-3</v>
      </c>
      <c r="AK3" s="2">
        <f t="shared" si="3"/>
        <v>8.2271273192578376E-2</v>
      </c>
      <c r="AL3" s="2">
        <f t="shared" si="3"/>
        <v>0.17629558541266793</v>
      </c>
      <c r="AM3" s="2">
        <f t="shared" si="3"/>
        <v>0.32481126039667307</v>
      </c>
      <c r="AN3" s="2">
        <f t="shared" si="3"/>
        <v>0.34511196417146511</v>
      </c>
      <c r="AO3" s="2">
        <f t="shared" si="3"/>
        <v>0.93490083173384508</v>
      </c>
      <c r="AP3" s="2">
        <f t="shared" si="3"/>
        <v>0</v>
      </c>
      <c r="AQ3" s="2">
        <f t="shared" si="3"/>
        <v>7.4792066538707618E-3</v>
      </c>
      <c r="AR3" s="2">
        <f t="shared" si="3"/>
        <v>8.1202815099168268E-2</v>
      </c>
      <c r="AS3" s="2">
        <f t="shared" si="3"/>
        <v>0.13355726167626358</v>
      </c>
      <c r="AT3" s="2">
        <f t="shared" si="3"/>
        <v>0.21262316058861164</v>
      </c>
      <c r="AU3" s="2">
        <f t="shared" si="3"/>
        <v>0.30023672424824055</v>
      </c>
      <c r="AV3" s="2">
        <f t="shared" si="3"/>
        <v>0.73509916826615485</v>
      </c>
      <c r="AW3">
        <v>156300</v>
      </c>
      <c r="AX3" s="33">
        <v>1492130000</v>
      </c>
      <c r="AY3" s="33">
        <f>AZ3-BE3</f>
        <v>252420000</v>
      </c>
      <c r="AZ3">
        <v>331685000</v>
      </c>
      <c r="BA3">
        <v>69227000</v>
      </c>
      <c r="BB3">
        <v>51820000</v>
      </c>
      <c r="BC3">
        <v>3513000</v>
      </c>
      <c r="BD3">
        <v>2541000</v>
      </c>
      <c r="BE3">
        <v>79265000</v>
      </c>
      <c r="BF3">
        <v>55340000</v>
      </c>
      <c r="BG3">
        <v>17215000</v>
      </c>
      <c r="BH3">
        <v>52280000</v>
      </c>
      <c r="BI3">
        <v>484000</v>
      </c>
      <c r="BJ3">
        <v>1105699000</v>
      </c>
      <c r="BK3">
        <v>951431000</v>
      </c>
      <c r="BL3">
        <v>54746000</v>
      </c>
      <c r="BM3">
        <v>34488000</v>
      </c>
      <c r="BN3" s="1">
        <f t="shared" ref="BN3:BN34" si="4">AZ3/$AX3</f>
        <v>0.22228961283534276</v>
      </c>
      <c r="BO3" s="1">
        <f t="shared" ref="BO3:CA3" si="5">BA3/$AX3</f>
        <v>4.639475112758272E-2</v>
      </c>
      <c r="BP3" s="1">
        <f t="shared" si="5"/>
        <v>3.4728877510672662E-2</v>
      </c>
      <c r="BQ3" s="1">
        <f t="shared" si="5"/>
        <v>2.3543525027980134E-3</v>
      </c>
      <c r="BR3" s="1">
        <f t="shared" si="5"/>
        <v>1.7029347308880594E-3</v>
      </c>
      <c r="BS3" s="1">
        <f t="shared" si="5"/>
        <v>5.3122047006628106E-2</v>
      </c>
      <c r="BT3" s="1">
        <f t="shared" si="5"/>
        <v>3.7087921293721057E-2</v>
      </c>
      <c r="BU3" s="1">
        <f t="shared" si="5"/>
        <v>1.1537198501471051E-2</v>
      </c>
      <c r="BV3" s="1">
        <f t="shared" si="5"/>
        <v>3.5037161641411942E-2</v>
      </c>
      <c r="BW3" s="1">
        <f t="shared" si="5"/>
        <v>3.2436852016915418E-4</v>
      </c>
      <c r="BX3" s="1">
        <f t="shared" si="5"/>
        <v>0.74102055450932558</v>
      </c>
      <c r="BY3" s="1">
        <f t="shared" si="5"/>
        <v>0.63763277998565804</v>
      </c>
      <c r="BZ3" s="1">
        <f t="shared" si="5"/>
        <v>3.6689832655331642E-2</v>
      </c>
      <c r="CA3" s="1">
        <f t="shared" si="5"/>
        <v>2.3113267610730969E-2</v>
      </c>
      <c r="CB3" s="2">
        <f>BN3*$E3</f>
        <v>0.37122365343502239</v>
      </c>
      <c r="CC3" s="2">
        <f t="shared" ref="CC3:CO3" si="6">BO3*$E3</f>
        <v>7.7479234383063145E-2</v>
      </c>
      <c r="CD3" s="2">
        <f t="shared" si="6"/>
        <v>5.799722544282334E-2</v>
      </c>
      <c r="CE3" s="2">
        <f t="shared" si="6"/>
        <v>3.9317686796726823E-3</v>
      </c>
      <c r="CF3" s="2">
        <f t="shared" si="6"/>
        <v>2.843901000583059E-3</v>
      </c>
      <c r="CG3" s="2">
        <f t="shared" si="6"/>
        <v>8.8713818501068936E-2</v>
      </c>
      <c r="CH3" s="2">
        <f t="shared" si="6"/>
        <v>6.1936828560514162E-2</v>
      </c>
      <c r="CI3" s="2">
        <f t="shared" si="6"/>
        <v>1.9267121497456654E-2</v>
      </c>
      <c r="CJ3" s="2">
        <f t="shared" si="6"/>
        <v>5.8512059941157941E-2</v>
      </c>
      <c r="CK3" s="2">
        <f t="shared" si="6"/>
        <v>5.4169542868248743E-4</v>
      </c>
      <c r="CL3" s="2">
        <f t="shared" si="6"/>
        <v>1.2375043260305736</v>
      </c>
      <c r="CM3" s="2">
        <f t="shared" si="6"/>
        <v>1.0648467425760488</v>
      </c>
      <c r="CN3" s="2">
        <f t="shared" si="6"/>
        <v>6.1272020534403837E-2</v>
      </c>
      <c r="CO3" s="2">
        <f t="shared" si="6"/>
        <v>3.8599156909920718E-2</v>
      </c>
    </row>
    <row r="4" spans="1:93" x14ac:dyDescent="0.25">
      <c r="A4" s="29">
        <v>6</v>
      </c>
      <c r="B4" t="s">
        <v>2</v>
      </c>
      <c r="C4">
        <v>228165</v>
      </c>
      <c r="D4">
        <v>0.66</v>
      </c>
      <c r="E4">
        <v>2.92</v>
      </c>
      <c r="F4">
        <v>0</v>
      </c>
      <c r="G4">
        <v>0</v>
      </c>
      <c r="H4">
        <v>0</v>
      </c>
      <c r="I4">
        <v>0</v>
      </c>
      <c r="J4">
        <v>0</v>
      </c>
      <c r="K4">
        <v>0</v>
      </c>
      <c r="L4">
        <v>0</v>
      </c>
      <c r="M4">
        <v>0</v>
      </c>
      <c r="N4">
        <v>3200</v>
      </c>
      <c r="O4">
        <v>62000</v>
      </c>
      <c r="P4">
        <v>51500</v>
      </c>
      <c r="Q4">
        <v>63200</v>
      </c>
      <c r="R4">
        <v>55200</v>
      </c>
      <c r="S4">
        <v>235300</v>
      </c>
      <c r="T4">
        <f t="shared" si="0"/>
        <v>235300</v>
      </c>
      <c r="U4" s="1">
        <f t="shared" si="1"/>
        <v>0</v>
      </c>
      <c r="V4" s="1">
        <f t="shared" ref="V4:V35" si="7">G4/$T4</f>
        <v>0</v>
      </c>
      <c r="W4" s="1">
        <f t="shared" ref="W4:W35" si="8">H4/$T4</f>
        <v>0</v>
      </c>
      <c r="X4" s="1">
        <f t="shared" ref="X4:X35" si="9">I4/$T4</f>
        <v>0</v>
      </c>
      <c r="Y4" s="1">
        <f t="shared" ref="Y4:Y35" si="10">J4/$T4</f>
        <v>0</v>
      </c>
      <c r="Z4" s="1">
        <f t="shared" ref="Z4:Z35" si="11">K4/$T4</f>
        <v>0</v>
      </c>
      <c r="AA4" s="1">
        <f t="shared" ref="AA4:AA35" si="12">L4/$T4</f>
        <v>0</v>
      </c>
      <c r="AB4" s="1">
        <f t="shared" ref="AB4:AB35" si="13">M4/$T4</f>
        <v>0</v>
      </c>
      <c r="AC4" s="1">
        <f t="shared" ref="AC4:AC35" si="14">N4/$T4</f>
        <v>1.3599660008499787E-2</v>
      </c>
      <c r="AD4" s="1">
        <f t="shared" ref="AD4:AD35" si="15">O4/$T4</f>
        <v>0.2634934126646834</v>
      </c>
      <c r="AE4" s="1">
        <f t="shared" ref="AE4:AE35" si="16">P4/$T4</f>
        <v>0.21886952826179346</v>
      </c>
      <c r="AF4" s="1">
        <f t="shared" ref="AF4:AF35" si="17">Q4/$T4</f>
        <v>0.26859328516787079</v>
      </c>
      <c r="AG4" s="1">
        <f t="shared" ref="AG4:AG35" si="18">R4/$T4</f>
        <v>0.23459413514662134</v>
      </c>
      <c r="AH4" s="1">
        <f t="shared" ref="AH4:AH35" si="19">S4/$T4</f>
        <v>1</v>
      </c>
      <c r="AI4" s="2">
        <f t="shared" ref="AI4:AI58" si="20">U4*$E4</f>
        <v>0</v>
      </c>
      <c r="AJ4" s="2">
        <f t="shared" ref="AJ4:AJ58" si="21">V4*$E4</f>
        <v>0</v>
      </c>
      <c r="AK4" s="2">
        <f t="shared" ref="AK4:AK58" si="22">W4*$E4</f>
        <v>0</v>
      </c>
      <c r="AL4" s="2">
        <f t="shared" ref="AL4:AL58" si="23">X4*$E4</f>
        <v>0</v>
      </c>
      <c r="AM4" s="2">
        <f t="shared" ref="AM4:AM58" si="24">Y4*$E4</f>
        <v>0</v>
      </c>
      <c r="AN4" s="2">
        <f t="shared" ref="AN4:AN58" si="25">Z4*$E4</f>
        <v>0</v>
      </c>
      <c r="AO4" s="2">
        <f t="shared" ref="AO4:AO58" si="26">AA4*$E4</f>
        <v>0</v>
      </c>
      <c r="AP4" s="2">
        <f t="shared" ref="AP4:AP58" si="27">AB4*$E4</f>
        <v>0</v>
      </c>
      <c r="AQ4" s="2">
        <f t="shared" ref="AQ4:AQ58" si="28">AC4*$E4</f>
        <v>3.9711007224819378E-2</v>
      </c>
      <c r="AR4" s="2">
        <f t="shared" ref="AR4:AR58" si="29">AD4*$E4</f>
        <v>0.76940076498087551</v>
      </c>
      <c r="AS4" s="2">
        <f t="shared" ref="AS4:AS58" si="30">AE4*$E4</f>
        <v>0.63909902252443684</v>
      </c>
      <c r="AT4" s="2">
        <f t="shared" ref="AT4:AT58" si="31">AF4*$E4</f>
        <v>0.78429239269018269</v>
      </c>
      <c r="AU4" s="2">
        <f t="shared" ref="AU4:AU58" si="32">AG4*$E4</f>
        <v>0.68501487462813426</v>
      </c>
      <c r="AV4" s="2">
        <f t="shared" ref="AV4:AV58" si="33">AH4*$E4</f>
        <v>2.92</v>
      </c>
      <c r="AW4">
        <v>235300</v>
      </c>
      <c r="AX4" s="33">
        <v>2918957000</v>
      </c>
      <c r="AY4" s="33">
        <f t="shared" ref="AY4:AY58" si="34">AZ4-BE4</f>
        <v>630334000</v>
      </c>
      <c r="AZ4">
        <v>1230546000</v>
      </c>
      <c r="BA4">
        <v>292903000</v>
      </c>
      <c r="BB4">
        <v>37537000</v>
      </c>
      <c r="BC4">
        <v>32650000</v>
      </c>
      <c r="BD4">
        <v>6101000</v>
      </c>
      <c r="BE4">
        <v>600212000</v>
      </c>
      <c r="BF4">
        <v>28778000</v>
      </c>
      <c r="BG4">
        <v>30401000</v>
      </c>
      <c r="BH4">
        <v>199919000</v>
      </c>
      <c r="BI4">
        <v>2046000</v>
      </c>
      <c r="BJ4">
        <v>1465224000</v>
      </c>
      <c r="BK4">
        <v>1277979000</v>
      </c>
      <c r="BL4">
        <v>223187000</v>
      </c>
      <c r="BM4">
        <v>177671000</v>
      </c>
      <c r="BN4" s="1">
        <f t="shared" si="4"/>
        <v>0.4215704445115156</v>
      </c>
      <c r="BO4" s="1">
        <f t="shared" ref="BO4:BO35" si="35">BA4/$AX4</f>
        <v>0.10034508901638496</v>
      </c>
      <c r="BP4" s="1">
        <f t="shared" ref="BP4:BP35" si="36">BB4/$AX4</f>
        <v>1.2859730376295368E-2</v>
      </c>
      <c r="BQ4" s="1">
        <f t="shared" ref="BQ4:BQ35" si="37">BC4/$AX4</f>
        <v>1.118550221877198E-2</v>
      </c>
      <c r="BR4" s="1">
        <f t="shared" ref="BR4:BR35" si="38">BD4/$AX4</f>
        <v>2.0901301389503169E-3</v>
      </c>
      <c r="BS4" s="1">
        <f t="shared" ref="BS4:BS35" si="39">BE4/$AX4</f>
        <v>0.20562550253395306</v>
      </c>
      <c r="BT4" s="1">
        <f t="shared" ref="BT4:BT35" si="40">BF4/$AX4</f>
        <v>9.8590010061813168E-3</v>
      </c>
      <c r="BU4" s="1">
        <f t="shared" ref="BU4:BU35" si="41">BG4/$AX4</f>
        <v>1.0415021529950596E-2</v>
      </c>
      <c r="BV4" s="1">
        <f t="shared" ref="BV4:BV35" si="42">BH4/$AX4</f>
        <v>6.8489874979316245E-2</v>
      </c>
      <c r="BW4" s="1">
        <f t="shared" ref="BW4:BW35" si="43">BI4/$AX4</f>
        <v>7.0093529983483824E-4</v>
      </c>
      <c r="BX4" s="1">
        <f t="shared" ref="BX4:BX35" si="44">BJ4/$AX4</f>
        <v>0.50196834006119306</v>
      </c>
      <c r="BY4" s="1">
        <f t="shared" ref="BY4:BY35" si="45">BK4/$AX4</f>
        <v>0.4378204269538743</v>
      </c>
      <c r="BZ4" s="1">
        <f t="shared" ref="BZ4:BZ35" si="46">BL4/$AX4</f>
        <v>7.6461215427291326E-2</v>
      </c>
      <c r="CA4" s="1">
        <f t="shared" ref="CA4:CA35" si="47">BM4/$AX4</f>
        <v>6.086797441688932E-2</v>
      </c>
      <c r="CB4" s="2">
        <f t="shared" ref="CB4:CB58" si="48">BN4*$E4</f>
        <v>1.2309856979736256</v>
      </c>
      <c r="CC4" s="2">
        <f t="shared" ref="CC4:CC58" si="49">BO4*$E4</f>
        <v>0.29300765992784406</v>
      </c>
      <c r="CD4" s="2">
        <f t="shared" ref="CD4:CD58" si="50">BP4*$E4</f>
        <v>3.7550412698782475E-2</v>
      </c>
      <c r="CE4" s="2">
        <f t="shared" ref="CE4:CE58" si="51">BQ4*$E4</f>
        <v>3.2661666478814182E-2</v>
      </c>
      <c r="CF4" s="2">
        <f t="shared" ref="CF4:CF58" si="52">BR4*$E4</f>
        <v>6.1031800057349253E-3</v>
      </c>
      <c r="CG4" s="2">
        <f t="shared" ref="CG4:CG58" si="53">BS4*$E4</f>
        <v>0.60042646739914296</v>
      </c>
      <c r="CH4" s="2">
        <f t="shared" ref="CH4:CH58" si="54">BT4*$E4</f>
        <v>2.8788282938049446E-2</v>
      </c>
      <c r="CI4" s="2">
        <f t="shared" ref="CI4:CI58" si="55">BU4*$E4</f>
        <v>3.0411862867455737E-2</v>
      </c>
      <c r="CJ4" s="2">
        <f t="shared" ref="CJ4:CJ58" si="56">BV4*$E4</f>
        <v>0.19999043493960345</v>
      </c>
      <c r="CK4" s="2">
        <f t="shared" ref="CK4:CK58" si="57">BW4*$E4</f>
        <v>2.0467310755177275E-3</v>
      </c>
      <c r="CL4" s="2">
        <f t="shared" ref="CL4:CL58" si="58">BX4*$E4</f>
        <v>1.4657475529786836</v>
      </c>
      <c r="CM4" s="2">
        <f t="shared" ref="CM4:CM58" si="59">BY4*$E4</f>
        <v>1.2784356467053128</v>
      </c>
      <c r="CN4" s="2">
        <f t="shared" ref="CN4:CN58" si="60">BZ4*$E4</f>
        <v>0.22326674904769067</v>
      </c>
      <c r="CO4" s="2">
        <f t="shared" ref="CO4:CO58" si="61">CA4*$E4</f>
        <v>0.17773448529731681</v>
      </c>
    </row>
    <row r="5" spans="1:93" x14ac:dyDescent="0.25">
      <c r="A5" s="29">
        <v>4</v>
      </c>
      <c r="B5" s="33" t="s">
        <v>3</v>
      </c>
      <c r="C5">
        <v>98603</v>
      </c>
      <c r="D5">
        <v>0.15</v>
      </c>
      <c r="E5">
        <v>2.2799999999999998</v>
      </c>
      <c r="F5">
        <v>0</v>
      </c>
      <c r="G5">
        <v>200</v>
      </c>
      <c r="H5">
        <v>5500</v>
      </c>
      <c r="I5">
        <v>15500</v>
      </c>
      <c r="J5">
        <v>24500</v>
      </c>
      <c r="K5">
        <v>17100</v>
      </c>
      <c r="L5">
        <v>62800</v>
      </c>
      <c r="M5">
        <v>0</v>
      </c>
      <c r="N5">
        <v>200</v>
      </c>
      <c r="O5">
        <v>4600</v>
      </c>
      <c r="P5">
        <v>10500</v>
      </c>
      <c r="Q5">
        <v>12000</v>
      </c>
      <c r="R5">
        <v>9300</v>
      </c>
      <c r="S5">
        <v>36500</v>
      </c>
      <c r="T5">
        <f t="shared" si="0"/>
        <v>99300</v>
      </c>
      <c r="U5" s="1">
        <f t="shared" si="1"/>
        <v>0</v>
      </c>
      <c r="V5" s="1">
        <f t="shared" si="7"/>
        <v>2.014098690835851E-3</v>
      </c>
      <c r="W5" s="1">
        <f t="shared" si="8"/>
        <v>5.53877139979859E-2</v>
      </c>
      <c r="X5" s="1">
        <f t="shared" si="9"/>
        <v>0.15609264853977844</v>
      </c>
      <c r="Y5" s="1">
        <f t="shared" si="10"/>
        <v>0.24672708962739173</v>
      </c>
      <c r="Z5" s="1">
        <f t="shared" si="11"/>
        <v>0.17220543806646527</v>
      </c>
      <c r="AA5" s="1">
        <f t="shared" si="12"/>
        <v>0.63242698892245719</v>
      </c>
      <c r="AB5" s="1">
        <f t="shared" si="13"/>
        <v>0</v>
      </c>
      <c r="AC5" s="1">
        <f t="shared" si="14"/>
        <v>2.014098690835851E-3</v>
      </c>
      <c r="AD5" s="1">
        <f t="shared" si="15"/>
        <v>4.632426988922457E-2</v>
      </c>
      <c r="AE5" s="1">
        <f t="shared" si="16"/>
        <v>0.10574018126888217</v>
      </c>
      <c r="AF5" s="1">
        <f t="shared" si="17"/>
        <v>0.12084592145015106</v>
      </c>
      <c r="AG5" s="1">
        <f t="shared" si="18"/>
        <v>9.3655589123867067E-2</v>
      </c>
      <c r="AH5" s="1">
        <f t="shared" si="19"/>
        <v>0.36757301107754281</v>
      </c>
      <c r="AI5" s="2">
        <f t="shared" si="20"/>
        <v>0</v>
      </c>
      <c r="AJ5" s="2">
        <f t="shared" si="21"/>
        <v>4.5921450151057402E-3</v>
      </c>
      <c r="AK5" s="2">
        <f t="shared" si="22"/>
        <v>0.12628398791540785</v>
      </c>
      <c r="AL5" s="2">
        <f t="shared" si="23"/>
        <v>0.35589123867069483</v>
      </c>
      <c r="AM5" s="2">
        <f t="shared" si="24"/>
        <v>0.56253776435045311</v>
      </c>
      <c r="AN5" s="2">
        <f t="shared" si="25"/>
        <v>0.39262839879154077</v>
      </c>
      <c r="AO5" s="2">
        <f t="shared" si="26"/>
        <v>1.4419335347432023</v>
      </c>
      <c r="AP5" s="2">
        <f t="shared" si="27"/>
        <v>0</v>
      </c>
      <c r="AQ5" s="2">
        <f t="shared" si="28"/>
        <v>4.5921450151057402E-3</v>
      </c>
      <c r="AR5" s="2">
        <f t="shared" si="29"/>
        <v>0.10561933534743201</v>
      </c>
      <c r="AS5" s="2">
        <f t="shared" si="30"/>
        <v>0.24108761329305131</v>
      </c>
      <c r="AT5" s="2">
        <f t="shared" si="31"/>
        <v>0.2755287009063444</v>
      </c>
      <c r="AU5" s="2">
        <f t="shared" si="32"/>
        <v>0.21353474320241689</v>
      </c>
      <c r="AV5" s="2">
        <f t="shared" si="33"/>
        <v>0.83806646525679751</v>
      </c>
      <c r="AW5">
        <v>99300</v>
      </c>
      <c r="AX5" s="33">
        <v>2234664000</v>
      </c>
      <c r="AY5" s="33">
        <f t="shared" si="34"/>
        <v>250132000</v>
      </c>
      <c r="AZ5">
        <v>659282000</v>
      </c>
      <c r="BA5">
        <v>92102000</v>
      </c>
      <c r="BB5">
        <v>26986000</v>
      </c>
      <c r="BC5">
        <v>5064000</v>
      </c>
      <c r="BD5">
        <v>1292000</v>
      </c>
      <c r="BE5">
        <v>409150000</v>
      </c>
      <c r="BF5">
        <v>23813000</v>
      </c>
      <c r="BG5">
        <v>14775000</v>
      </c>
      <c r="BH5">
        <v>85814000</v>
      </c>
      <c r="BI5">
        <v>284000</v>
      </c>
      <c r="BJ5">
        <v>1484498000</v>
      </c>
      <c r="BK5">
        <v>1303914000</v>
      </c>
      <c r="BL5">
        <v>90884000</v>
      </c>
      <c r="BM5">
        <v>42545000</v>
      </c>
      <c r="BN5" s="1">
        <f t="shared" si="4"/>
        <v>0.29502511339512338</v>
      </c>
      <c r="BO5" s="1">
        <f t="shared" si="35"/>
        <v>4.1215144648143971E-2</v>
      </c>
      <c r="BP5" s="1">
        <f t="shared" si="36"/>
        <v>1.2076088396286868E-2</v>
      </c>
      <c r="BQ5" s="1">
        <f t="shared" si="37"/>
        <v>2.2661124893943786E-3</v>
      </c>
      <c r="BR5" s="1">
        <f t="shared" si="38"/>
        <v>5.7816298110140944E-4</v>
      </c>
      <c r="BS5" s="1">
        <f t="shared" si="39"/>
        <v>0.18309240225823659</v>
      </c>
      <c r="BT5" s="1">
        <f t="shared" si="40"/>
        <v>1.0656188133876055E-2</v>
      </c>
      <c r="BU5" s="1">
        <f t="shared" si="41"/>
        <v>6.6117322335706849E-3</v>
      </c>
      <c r="BV5" s="1">
        <f t="shared" si="42"/>
        <v>3.8401298808232467E-2</v>
      </c>
      <c r="BW5" s="1">
        <f t="shared" si="43"/>
        <v>1.2708845714613025E-4</v>
      </c>
      <c r="BX5" s="1">
        <f t="shared" si="44"/>
        <v>0.66430479033984524</v>
      </c>
      <c r="BY5" s="1">
        <f t="shared" si="45"/>
        <v>0.58349443137760304</v>
      </c>
      <c r="BZ5" s="1">
        <f t="shared" si="46"/>
        <v>4.067009626503134E-2</v>
      </c>
      <c r="CA5" s="1">
        <f t="shared" si="47"/>
        <v>1.903865637071166E-2</v>
      </c>
      <c r="CB5" s="2">
        <f t="shared" si="48"/>
        <v>0.67265725854088121</v>
      </c>
      <c r="CC5" s="2">
        <f t="shared" si="49"/>
        <v>9.3970529797768251E-2</v>
      </c>
      <c r="CD5" s="2">
        <f t="shared" si="50"/>
        <v>2.7533481543534057E-2</v>
      </c>
      <c r="CE5" s="2">
        <f t="shared" si="51"/>
        <v>5.1667364758191826E-3</v>
      </c>
      <c r="CF5" s="2">
        <f t="shared" si="52"/>
        <v>1.3182115969112135E-3</v>
      </c>
      <c r="CG5" s="2">
        <f t="shared" si="53"/>
        <v>0.41745067714877937</v>
      </c>
      <c r="CH5" s="2">
        <f t="shared" si="54"/>
        <v>2.4296108945237403E-2</v>
      </c>
      <c r="CI5" s="2">
        <f t="shared" si="55"/>
        <v>1.5074749492541161E-2</v>
      </c>
      <c r="CJ5" s="2">
        <f t="shared" si="56"/>
        <v>8.7554961282770016E-2</v>
      </c>
      <c r="CK5" s="2">
        <f t="shared" si="57"/>
        <v>2.8976168229317696E-4</v>
      </c>
      <c r="CL5" s="2">
        <f t="shared" si="58"/>
        <v>1.514614921974847</v>
      </c>
      <c r="CM5" s="2">
        <f t="shared" si="59"/>
        <v>1.3303673035409349</v>
      </c>
      <c r="CN5" s="2">
        <f t="shared" si="60"/>
        <v>9.2727819484271445E-2</v>
      </c>
      <c r="CO5" s="2">
        <f t="shared" si="61"/>
        <v>4.3408136525222581E-2</v>
      </c>
    </row>
    <row r="6" spans="1:93" x14ac:dyDescent="0.25">
      <c r="A6" s="29">
        <v>8</v>
      </c>
      <c r="B6" t="s">
        <v>4</v>
      </c>
      <c r="C6">
        <v>220797</v>
      </c>
      <c r="D6">
        <v>0.33</v>
      </c>
      <c r="E6">
        <v>1.54</v>
      </c>
      <c r="F6">
        <v>0</v>
      </c>
      <c r="G6">
        <v>0</v>
      </c>
      <c r="H6">
        <v>4900</v>
      </c>
      <c r="I6">
        <v>32400</v>
      </c>
      <c r="J6">
        <v>86000</v>
      </c>
      <c r="K6">
        <v>105000</v>
      </c>
      <c r="L6">
        <v>228400</v>
      </c>
      <c r="M6">
        <v>0</v>
      </c>
      <c r="N6">
        <v>0</v>
      </c>
      <c r="O6">
        <v>0</v>
      </c>
      <c r="P6">
        <v>0</v>
      </c>
      <c r="Q6">
        <v>0</v>
      </c>
      <c r="R6">
        <v>0</v>
      </c>
      <c r="S6">
        <v>0</v>
      </c>
      <c r="T6">
        <f t="shared" si="0"/>
        <v>228400</v>
      </c>
      <c r="U6" s="1">
        <f t="shared" si="1"/>
        <v>0</v>
      </c>
      <c r="V6" s="1">
        <f t="shared" si="7"/>
        <v>0</v>
      </c>
      <c r="W6" s="1">
        <f t="shared" si="8"/>
        <v>2.1453590192644482E-2</v>
      </c>
      <c r="X6" s="1">
        <f t="shared" si="9"/>
        <v>0.14185639229422067</v>
      </c>
      <c r="Y6" s="1">
        <f t="shared" si="10"/>
        <v>0.37653239929947463</v>
      </c>
      <c r="Z6" s="1">
        <f t="shared" si="11"/>
        <v>0.45971978984238177</v>
      </c>
      <c r="AA6" s="1">
        <f t="shared" si="12"/>
        <v>1</v>
      </c>
      <c r="AB6" s="1">
        <f t="shared" si="13"/>
        <v>0</v>
      </c>
      <c r="AC6" s="1">
        <f t="shared" si="14"/>
        <v>0</v>
      </c>
      <c r="AD6" s="1">
        <f t="shared" si="15"/>
        <v>0</v>
      </c>
      <c r="AE6" s="1">
        <f t="shared" si="16"/>
        <v>0</v>
      </c>
      <c r="AF6" s="1">
        <f t="shared" si="17"/>
        <v>0</v>
      </c>
      <c r="AG6" s="1">
        <f t="shared" si="18"/>
        <v>0</v>
      </c>
      <c r="AH6" s="1">
        <f t="shared" si="19"/>
        <v>0</v>
      </c>
      <c r="AI6" s="2">
        <f t="shared" si="20"/>
        <v>0</v>
      </c>
      <c r="AJ6" s="2">
        <f t="shared" si="21"/>
        <v>0</v>
      </c>
      <c r="AK6" s="2">
        <f t="shared" si="22"/>
        <v>3.3038528896672505E-2</v>
      </c>
      <c r="AL6" s="2">
        <f t="shared" si="23"/>
        <v>0.21845884413309985</v>
      </c>
      <c r="AM6" s="2">
        <f t="shared" si="24"/>
        <v>0.57985989492119094</v>
      </c>
      <c r="AN6" s="2">
        <f t="shared" si="25"/>
        <v>0.7079684763572679</v>
      </c>
      <c r="AO6" s="2">
        <f t="shared" si="26"/>
        <v>1.54</v>
      </c>
      <c r="AP6" s="2">
        <f t="shared" si="27"/>
        <v>0</v>
      </c>
      <c r="AQ6" s="2">
        <f t="shared" si="28"/>
        <v>0</v>
      </c>
      <c r="AR6" s="2">
        <f t="shared" si="29"/>
        <v>0</v>
      </c>
      <c r="AS6" s="2">
        <f t="shared" si="30"/>
        <v>0</v>
      </c>
      <c r="AT6" s="2">
        <f t="shared" si="31"/>
        <v>0</v>
      </c>
      <c r="AU6" s="2">
        <f t="shared" si="32"/>
        <v>0</v>
      </c>
      <c r="AV6" s="2">
        <f t="shared" si="33"/>
        <v>0</v>
      </c>
      <c r="AW6">
        <v>228400</v>
      </c>
      <c r="AX6" s="33">
        <v>1647698000</v>
      </c>
      <c r="AY6" s="33">
        <f t="shared" si="34"/>
        <v>463576000</v>
      </c>
      <c r="AZ6">
        <v>1061561000</v>
      </c>
      <c r="BA6">
        <v>291611000</v>
      </c>
      <c r="BB6">
        <v>23818000</v>
      </c>
      <c r="BC6">
        <v>8862000</v>
      </c>
      <c r="BD6">
        <v>4469000</v>
      </c>
      <c r="BE6">
        <v>597985000</v>
      </c>
      <c r="BF6">
        <v>17531000</v>
      </c>
      <c r="BG6">
        <v>18854000</v>
      </c>
      <c r="BH6">
        <v>97376000</v>
      </c>
      <c r="BI6">
        <v>1055000</v>
      </c>
      <c r="BJ6">
        <v>548432000</v>
      </c>
      <c r="BK6">
        <v>460379000</v>
      </c>
      <c r="BL6">
        <v>37706000</v>
      </c>
      <c r="BM6">
        <v>10822000</v>
      </c>
      <c r="BN6" s="1">
        <f t="shared" si="4"/>
        <v>0.64426915611962876</v>
      </c>
      <c r="BO6" s="1">
        <f t="shared" si="35"/>
        <v>0.17698085450124962</v>
      </c>
      <c r="BP6" s="1">
        <f t="shared" si="36"/>
        <v>1.4455318875182224E-2</v>
      </c>
      <c r="BQ6" s="1">
        <f t="shared" si="37"/>
        <v>5.3784127916644917E-3</v>
      </c>
      <c r="BR6" s="1">
        <f t="shared" si="38"/>
        <v>2.712268874514626E-3</v>
      </c>
      <c r="BS6" s="1">
        <f t="shared" si="39"/>
        <v>0.36292148197060381</v>
      </c>
      <c r="BT6" s="1">
        <f t="shared" si="40"/>
        <v>1.0639692467915844E-2</v>
      </c>
      <c r="BU6" s="1">
        <f t="shared" si="41"/>
        <v>1.1442630870462912E-2</v>
      </c>
      <c r="BV6" s="1">
        <f t="shared" si="42"/>
        <v>5.9098208530932249E-2</v>
      </c>
      <c r="BW6" s="1">
        <f t="shared" si="43"/>
        <v>6.4028723710291566E-4</v>
      </c>
      <c r="BX6" s="1">
        <f t="shared" si="44"/>
        <v>0.33284740286144671</v>
      </c>
      <c r="BY6" s="1">
        <f t="shared" si="45"/>
        <v>0.27940739140303622</v>
      </c>
      <c r="BZ6" s="1">
        <f t="shared" si="46"/>
        <v>2.2884047926258332E-2</v>
      </c>
      <c r="CA6" s="1">
        <f t="shared" si="47"/>
        <v>6.5679511658082975E-3</v>
      </c>
      <c r="CB6" s="2">
        <f t="shared" si="48"/>
        <v>0.99217450042422828</v>
      </c>
      <c r="CC6" s="2">
        <f t="shared" si="49"/>
        <v>0.27255051593192442</v>
      </c>
      <c r="CD6" s="2">
        <f t="shared" si="50"/>
        <v>2.2261191067780624E-2</v>
      </c>
      <c r="CE6" s="2">
        <f t="shared" si="51"/>
        <v>8.2827556991633168E-3</v>
      </c>
      <c r="CF6" s="2">
        <f t="shared" si="52"/>
        <v>4.1768940667525241E-3</v>
      </c>
      <c r="CG6" s="2">
        <f t="shared" si="53"/>
        <v>0.55889908223472984</v>
      </c>
      <c r="CH6" s="2">
        <f t="shared" si="54"/>
        <v>1.6385126400590401E-2</v>
      </c>
      <c r="CI6" s="2">
        <f t="shared" si="55"/>
        <v>1.7621651540512887E-2</v>
      </c>
      <c r="CJ6" s="2">
        <f t="shared" si="56"/>
        <v>9.1011241137635659E-2</v>
      </c>
      <c r="CK6" s="2">
        <f t="shared" si="57"/>
        <v>9.8604234513849018E-4</v>
      </c>
      <c r="CL6" s="2">
        <f t="shared" si="58"/>
        <v>0.51258500040662791</v>
      </c>
      <c r="CM6" s="2">
        <f t="shared" si="59"/>
        <v>0.4302873827606758</v>
      </c>
      <c r="CN6" s="2">
        <f t="shared" si="60"/>
        <v>3.5241433806437829E-2</v>
      </c>
      <c r="CO6" s="2">
        <f t="shared" si="61"/>
        <v>1.0114644795344779E-2</v>
      </c>
    </row>
    <row r="7" spans="1:93" x14ac:dyDescent="0.25">
      <c r="A7" s="29">
        <v>34</v>
      </c>
      <c r="B7" s="33" t="s">
        <v>5</v>
      </c>
      <c r="C7">
        <v>103648</v>
      </c>
      <c r="D7">
        <v>0.16</v>
      </c>
      <c r="E7">
        <v>1.03</v>
      </c>
      <c r="F7">
        <v>0</v>
      </c>
      <c r="G7">
        <v>600</v>
      </c>
      <c r="H7">
        <v>12900</v>
      </c>
      <c r="I7">
        <v>16500</v>
      </c>
      <c r="J7">
        <v>18500</v>
      </c>
      <c r="K7">
        <v>21100</v>
      </c>
      <c r="L7">
        <v>69600</v>
      </c>
      <c r="M7">
        <v>0</v>
      </c>
      <c r="N7">
        <v>200</v>
      </c>
      <c r="O7">
        <v>3200</v>
      </c>
      <c r="P7">
        <v>4600</v>
      </c>
      <c r="Q7">
        <v>6800</v>
      </c>
      <c r="R7">
        <v>17900</v>
      </c>
      <c r="S7">
        <v>32700</v>
      </c>
      <c r="T7">
        <f t="shared" si="0"/>
        <v>102300</v>
      </c>
      <c r="U7" s="1">
        <f t="shared" si="1"/>
        <v>0</v>
      </c>
      <c r="V7" s="1">
        <f t="shared" si="7"/>
        <v>5.8651026392961877E-3</v>
      </c>
      <c r="W7" s="1">
        <f t="shared" si="8"/>
        <v>0.12609970674486803</v>
      </c>
      <c r="X7" s="1">
        <f t="shared" si="9"/>
        <v>0.16129032258064516</v>
      </c>
      <c r="Y7" s="1">
        <f t="shared" si="10"/>
        <v>0.18084066471163246</v>
      </c>
      <c r="Z7" s="1">
        <f t="shared" si="11"/>
        <v>0.20625610948191594</v>
      </c>
      <c r="AA7" s="1">
        <f t="shared" si="12"/>
        <v>0.68035190615835772</v>
      </c>
      <c r="AB7" s="1">
        <f t="shared" si="13"/>
        <v>0</v>
      </c>
      <c r="AC7" s="1">
        <f t="shared" si="14"/>
        <v>1.9550342130987292E-3</v>
      </c>
      <c r="AD7" s="1">
        <f t="shared" si="15"/>
        <v>3.1280547409579668E-2</v>
      </c>
      <c r="AE7" s="1">
        <f t="shared" si="16"/>
        <v>4.4965786901270774E-2</v>
      </c>
      <c r="AF7" s="1">
        <f t="shared" si="17"/>
        <v>6.647116324535679E-2</v>
      </c>
      <c r="AG7" s="1">
        <f t="shared" si="18"/>
        <v>0.17497556207233628</v>
      </c>
      <c r="AH7" s="1">
        <f t="shared" si="19"/>
        <v>0.31964809384164222</v>
      </c>
      <c r="AI7" s="2">
        <f t="shared" si="20"/>
        <v>0</v>
      </c>
      <c r="AJ7" s="2">
        <f t="shared" si="21"/>
        <v>6.0410557184750737E-3</v>
      </c>
      <c r="AK7" s="2">
        <f t="shared" si="22"/>
        <v>0.12988269794721408</v>
      </c>
      <c r="AL7" s="2">
        <f t="shared" si="23"/>
        <v>0.16612903225806452</v>
      </c>
      <c r="AM7" s="2">
        <f t="shared" si="24"/>
        <v>0.18626588465298144</v>
      </c>
      <c r="AN7" s="2">
        <f t="shared" si="25"/>
        <v>0.21244379276637343</v>
      </c>
      <c r="AO7" s="2">
        <f t="shared" si="26"/>
        <v>0.70076246334310843</v>
      </c>
      <c r="AP7" s="2">
        <f t="shared" si="27"/>
        <v>0</v>
      </c>
      <c r="AQ7" s="2">
        <f t="shared" si="28"/>
        <v>2.0136852394916911E-3</v>
      </c>
      <c r="AR7" s="2">
        <f t="shared" si="29"/>
        <v>3.2218963831867058E-2</v>
      </c>
      <c r="AS7" s="2">
        <f t="shared" si="30"/>
        <v>4.6314760508308898E-2</v>
      </c>
      <c r="AT7" s="2">
        <f t="shared" si="31"/>
        <v>6.8465298142717498E-2</v>
      </c>
      <c r="AU7" s="2">
        <f t="shared" si="32"/>
        <v>0.18022482893450636</v>
      </c>
      <c r="AV7" s="2">
        <f t="shared" si="33"/>
        <v>0.32923753665689148</v>
      </c>
      <c r="AW7">
        <v>102200</v>
      </c>
      <c r="AX7" s="33">
        <v>1024934000</v>
      </c>
      <c r="AY7" s="33">
        <f t="shared" si="34"/>
        <v>69665000</v>
      </c>
      <c r="AZ7">
        <v>115580000</v>
      </c>
      <c r="BA7">
        <v>28897000</v>
      </c>
      <c r="BB7">
        <v>4220000</v>
      </c>
      <c r="BC7">
        <v>1661000</v>
      </c>
      <c r="BD7">
        <v>1792000</v>
      </c>
      <c r="BE7">
        <v>45915000</v>
      </c>
      <c r="BF7">
        <v>7038000</v>
      </c>
      <c r="BG7">
        <v>3992000</v>
      </c>
      <c r="BH7">
        <v>21804000</v>
      </c>
      <c r="BI7">
        <v>261000</v>
      </c>
      <c r="BJ7">
        <v>849991000</v>
      </c>
      <c r="BK7">
        <v>731396000</v>
      </c>
      <c r="BL7">
        <v>59364000</v>
      </c>
      <c r="BM7">
        <v>48595000</v>
      </c>
      <c r="BN7" s="1">
        <f t="shared" si="4"/>
        <v>0.11276823678402707</v>
      </c>
      <c r="BO7" s="1">
        <f t="shared" si="35"/>
        <v>2.8194010541166555E-2</v>
      </c>
      <c r="BP7" s="1">
        <f t="shared" si="36"/>
        <v>4.1173382871482461E-3</v>
      </c>
      <c r="BQ7" s="1">
        <f t="shared" si="37"/>
        <v>1.6205921552021887E-3</v>
      </c>
      <c r="BR7" s="1">
        <f t="shared" si="38"/>
        <v>1.748405263168165E-3</v>
      </c>
      <c r="BS7" s="1">
        <f t="shared" si="39"/>
        <v>4.4798006505784763E-2</v>
      </c>
      <c r="BT7" s="1">
        <f t="shared" si="40"/>
        <v>6.8667836172865765E-3</v>
      </c>
      <c r="BU7" s="1">
        <f t="shared" si="41"/>
        <v>3.8948849389326533E-3</v>
      </c>
      <c r="BV7" s="1">
        <f t="shared" si="42"/>
        <v>2.1273564931985865E-2</v>
      </c>
      <c r="BW7" s="1">
        <f t="shared" si="43"/>
        <v>2.5465054335205973E-4</v>
      </c>
      <c r="BX7" s="1">
        <f t="shared" si="44"/>
        <v>0.82931291185578782</v>
      </c>
      <c r="BY7" s="1">
        <f t="shared" si="45"/>
        <v>0.71360302224338346</v>
      </c>
      <c r="BZ7" s="1">
        <f t="shared" si="46"/>
        <v>5.7919827032765034E-2</v>
      </c>
      <c r="CA7" s="1">
        <f t="shared" si="47"/>
        <v>4.7412809019897868E-2</v>
      </c>
      <c r="CB7" s="2">
        <f t="shared" si="48"/>
        <v>0.11615128388754789</v>
      </c>
      <c r="CC7" s="2">
        <f t="shared" si="49"/>
        <v>2.9039830857401552E-2</v>
      </c>
      <c r="CD7" s="2">
        <f t="shared" si="50"/>
        <v>4.2408584357626934E-3</v>
      </c>
      <c r="CE7" s="2">
        <f t="shared" si="51"/>
        <v>1.6692099198582543E-3</v>
      </c>
      <c r="CF7" s="2">
        <f t="shared" si="52"/>
        <v>1.80085742106321E-3</v>
      </c>
      <c r="CG7" s="2">
        <f t="shared" si="53"/>
        <v>4.6141946700958308E-2</v>
      </c>
      <c r="CH7" s="2">
        <f t="shared" si="54"/>
        <v>7.0727871258051741E-3</v>
      </c>
      <c r="CI7" s="2">
        <f t="shared" si="55"/>
        <v>4.0117314871006334E-3</v>
      </c>
      <c r="CJ7" s="2">
        <f t="shared" si="56"/>
        <v>2.1911771879945443E-2</v>
      </c>
      <c r="CK7" s="2">
        <f t="shared" si="57"/>
        <v>2.6229005965262153E-4</v>
      </c>
      <c r="CL7" s="2">
        <f t="shared" si="58"/>
        <v>0.85419229921146145</v>
      </c>
      <c r="CM7" s="2">
        <f t="shared" si="59"/>
        <v>0.73501111291068499</v>
      </c>
      <c r="CN7" s="2">
        <f t="shared" si="60"/>
        <v>5.9657421843747983E-2</v>
      </c>
      <c r="CO7" s="2">
        <f t="shared" si="61"/>
        <v>4.8835193290494808E-2</v>
      </c>
    </row>
    <row r="8" spans="1:93" x14ac:dyDescent="0.25">
      <c r="A8" s="29">
        <v>38</v>
      </c>
      <c r="B8" t="s">
        <v>6</v>
      </c>
      <c r="C8">
        <v>197856</v>
      </c>
      <c r="D8">
        <v>0.3</v>
      </c>
      <c r="E8">
        <v>1.59</v>
      </c>
      <c r="F8">
        <v>100</v>
      </c>
      <c r="G8">
        <v>300</v>
      </c>
      <c r="H8">
        <v>3700</v>
      </c>
      <c r="I8">
        <v>8300</v>
      </c>
      <c r="J8">
        <v>19600</v>
      </c>
      <c r="K8">
        <v>64900</v>
      </c>
      <c r="L8">
        <v>96900</v>
      </c>
      <c r="M8">
        <v>100</v>
      </c>
      <c r="N8">
        <v>200</v>
      </c>
      <c r="O8">
        <v>1700</v>
      </c>
      <c r="P8">
        <v>3500</v>
      </c>
      <c r="Q8">
        <v>10200</v>
      </c>
      <c r="R8">
        <v>82300</v>
      </c>
      <c r="S8">
        <v>98000</v>
      </c>
      <c r="T8">
        <f t="shared" si="0"/>
        <v>194900</v>
      </c>
      <c r="U8" s="1">
        <f t="shared" si="1"/>
        <v>5.1308363263211901E-4</v>
      </c>
      <c r="V8" s="1">
        <f t="shared" si="7"/>
        <v>1.5392508978963571E-3</v>
      </c>
      <c r="W8" s="1">
        <f t="shared" si="8"/>
        <v>1.8984094407388404E-2</v>
      </c>
      <c r="X8" s="1">
        <f t="shared" si="9"/>
        <v>4.2585941508465883E-2</v>
      </c>
      <c r="Y8" s="1">
        <f t="shared" si="10"/>
        <v>0.10056439199589533</v>
      </c>
      <c r="Z8" s="1">
        <f t="shared" si="11"/>
        <v>0.33299127757824526</v>
      </c>
      <c r="AA8" s="1">
        <f t="shared" si="12"/>
        <v>0.49717804002052335</v>
      </c>
      <c r="AB8" s="1">
        <f t="shared" si="13"/>
        <v>5.1308363263211901E-4</v>
      </c>
      <c r="AC8" s="1">
        <f t="shared" si="14"/>
        <v>1.026167265264238E-3</v>
      </c>
      <c r="AD8" s="1">
        <f t="shared" si="15"/>
        <v>8.7224217547460237E-3</v>
      </c>
      <c r="AE8" s="1">
        <f t="shared" si="16"/>
        <v>1.7957927142124165E-2</v>
      </c>
      <c r="AF8" s="1">
        <f t="shared" si="17"/>
        <v>5.2334530528476142E-2</v>
      </c>
      <c r="AG8" s="1">
        <f t="shared" si="18"/>
        <v>0.42226782965623394</v>
      </c>
      <c r="AH8" s="1">
        <f t="shared" si="19"/>
        <v>0.50282195997947665</v>
      </c>
      <c r="AI8" s="2">
        <f t="shared" si="20"/>
        <v>8.1580297588506928E-4</v>
      </c>
      <c r="AJ8" s="2">
        <f t="shared" si="21"/>
        <v>2.4474089276552082E-3</v>
      </c>
      <c r="AK8" s="2">
        <f t="shared" si="22"/>
        <v>3.0184710107747564E-2</v>
      </c>
      <c r="AL8" s="2">
        <f t="shared" si="23"/>
        <v>6.7711646998460759E-2</v>
      </c>
      <c r="AM8" s="2">
        <f t="shared" si="24"/>
        <v>0.15989738327347358</v>
      </c>
      <c r="AN8" s="2">
        <f t="shared" si="25"/>
        <v>0.52945613134940994</v>
      </c>
      <c r="AO8" s="2">
        <f t="shared" si="26"/>
        <v>0.79051308363263217</v>
      </c>
      <c r="AP8" s="2">
        <f t="shared" si="27"/>
        <v>8.1580297588506928E-4</v>
      </c>
      <c r="AQ8" s="2">
        <f t="shared" si="28"/>
        <v>1.6316059517701386E-3</v>
      </c>
      <c r="AR8" s="2">
        <f t="shared" si="29"/>
        <v>1.3868650590046178E-2</v>
      </c>
      <c r="AS8" s="2">
        <f t="shared" si="30"/>
        <v>2.8553104155977425E-2</v>
      </c>
      <c r="AT8" s="2">
        <f t="shared" si="31"/>
        <v>8.3211903540277077E-2</v>
      </c>
      <c r="AU8" s="2">
        <f t="shared" si="32"/>
        <v>0.67140584915341195</v>
      </c>
      <c r="AV8" s="2">
        <f t="shared" si="33"/>
        <v>0.79948691636736791</v>
      </c>
      <c r="AW8">
        <v>194900</v>
      </c>
      <c r="AX8" s="33">
        <v>1463586000</v>
      </c>
      <c r="AY8" s="33">
        <f t="shared" si="34"/>
        <v>311200000</v>
      </c>
      <c r="AZ8">
        <v>365695000</v>
      </c>
      <c r="BA8">
        <v>21851000</v>
      </c>
      <c r="BB8">
        <v>170091000</v>
      </c>
      <c r="BC8">
        <v>12223000</v>
      </c>
      <c r="BD8">
        <v>596000</v>
      </c>
      <c r="BE8">
        <v>54495000</v>
      </c>
      <c r="BF8">
        <v>57475000</v>
      </c>
      <c r="BG8">
        <v>11469000</v>
      </c>
      <c r="BH8">
        <v>37354000</v>
      </c>
      <c r="BI8">
        <v>140000</v>
      </c>
      <c r="BJ8">
        <v>1085342000</v>
      </c>
      <c r="BK8">
        <v>952863000</v>
      </c>
      <c r="BL8">
        <v>12549000</v>
      </c>
      <c r="BM8">
        <v>2731000</v>
      </c>
      <c r="BN8" s="1">
        <f t="shared" si="4"/>
        <v>0.24986232445513964</v>
      </c>
      <c r="BO8" s="1">
        <f t="shared" si="35"/>
        <v>1.4929768390788106E-2</v>
      </c>
      <c r="BP8" s="1">
        <f t="shared" si="36"/>
        <v>0.11621524119525603</v>
      </c>
      <c r="BQ8" s="1">
        <f t="shared" si="37"/>
        <v>8.351405383762894E-3</v>
      </c>
      <c r="BR8" s="1">
        <f t="shared" si="38"/>
        <v>4.0721898132395362E-4</v>
      </c>
      <c r="BS8" s="1">
        <f t="shared" si="39"/>
        <v>3.7233889911491368E-2</v>
      </c>
      <c r="BT8" s="1">
        <f t="shared" si="40"/>
        <v>3.9269984818111135E-2</v>
      </c>
      <c r="BU8" s="1">
        <f t="shared" si="41"/>
        <v>7.8362323771886313E-3</v>
      </c>
      <c r="BV8" s="1">
        <f t="shared" si="42"/>
        <v>2.5522244678481482E-2</v>
      </c>
      <c r="BW8" s="1">
        <f t="shared" si="43"/>
        <v>9.5655465411666961E-5</v>
      </c>
      <c r="BX8" s="1">
        <f t="shared" si="44"/>
        <v>0.74156352957735316</v>
      </c>
      <c r="BY8" s="1">
        <f t="shared" si="45"/>
        <v>0.65104681241826579</v>
      </c>
      <c r="BZ8" s="1">
        <f t="shared" si="46"/>
        <v>8.5741459675072046E-3</v>
      </c>
      <c r="CA8" s="1">
        <f t="shared" si="47"/>
        <v>1.8659648288518748E-3</v>
      </c>
      <c r="CB8" s="2">
        <f t="shared" si="48"/>
        <v>0.39728109588367205</v>
      </c>
      <c r="CC8" s="2">
        <f t="shared" si="49"/>
        <v>2.3738331741353091E-2</v>
      </c>
      <c r="CD8" s="2">
        <f t="shared" si="50"/>
        <v>0.18478223350045711</v>
      </c>
      <c r="CE8" s="2">
        <f t="shared" si="51"/>
        <v>1.3278734560183003E-2</v>
      </c>
      <c r="CF8" s="2">
        <f t="shared" si="52"/>
        <v>6.4747818030508623E-4</v>
      </c>
      <c r="CG8" s="2">
        <f t="shared" si="53"/>
        <v>5.9201884959271277E-2</v>
      </c>
      <c r="CH8" s="2">
        <f t="shared" si="54"/>
        <v>6.2439275860796707E-2</v>
      </c>
      <c r="CI8" s="2">
        <f t="shared" si="55"/>
        <v>1.2459609479729924E-2</v>
      </c>
      <c r="CJ8" s="2">
        <f t="shared" si="56"/>
        <v>4.0580369038785556E-2</v>
      </c>
      <c r="CK8" s="2">
        <f t="shared" si="57"/>
        <v>1.5209219000455047E-4</v>
      </c>
      <c r="CL8" s="2">
        <f t="shared" si="58"/>
        <v>1.1790860120279916</v>
      </c>
      <c r="CM8" s="2">
        <f t="shared" si="59"/>
        <v>1.0351644317450426</v>
      </c>
      <c r="CN8" s="2">
        <f t="shared" si="60"/>
        <v>1.3632892088336457E-2</v>
      </c>
      <c r="CO8" s="2">
        <f t="shared" si="61"/>
        <v>2.9668840778744811E-3</v>
      </c>
    </row>
    <row r="9" spans="1:93" x14ac:dyDescent="0.25">
      <c r="A9" s="29">
        <v>17</v>
      </c>
      <c r="B9" t="s">
        <v>7</v>
      </c>
      <c r="C9">
        <v>440883</v>
      </c>
      <c r="D9">
        <v>0.67</v>
      </c>
      <c r="E9">
        <v>1.59</v>
      </c>
      <c r="F9">
        <v>900</v>
      </c>
      <c r="G9">
        <v>146700</v>
      </c>
      <c r="H9">
        <v>422200</v>
      </c>
      <c r="I9">
        <v>226000</v>
      </c>
      <c r="J9">
        <v>128100</v>
      </c>
      <c r="K9">
        <v>45700</v>
      </c>
      <c r="L9">
        <v>969600</v>
      </c>
      <c r="M9">
        <v>600</v>
      </c>
      <c r="N9">
        <v>83000</v>
      </c>
      <c r="O9">
        <v>237400</v>
      </c>
      <c r="P9">
        <v>139800</v>
      </c>
      <c r="Q9">
        <v>78700</v>
      </c>
      <c r="R9">
        <v>31900</v>
      </c>
      <c r="S9">
        <v>571400</v>
      </c>
      <c r="T9">
        <f t="shared" si="0"/>
        <v>1541000</v>
      </c>
      <c r="U9" s="1">
        <f t="shared" si="1"/>
        <v>5.8403634003893572E-4</v>
      </c>
      <c r="V9" s="1">
        <f t="shared" si="7"/>
        <v>9.5197923426346531E-2</v>
      </c>
      <c r="W9" s="1">
        <f t="shared" si="8"/>
        <v>0.27397793640493184</v>
      </c>
      <c r="X9" s="1">
        <f t="shared" si="9"/>
        <v>0.14665801427644387</v>
      </c>
      <c r="Y9" s="1">
        <f t="shared" si="10"/>
        <v>8.3127839065541859E-2</v>
      </c>
      <c r="Z9" s="1">
        <f t="shared" si="11"/>
        <v>2.9656067488643738E-2</v>
      </c>
      <c r="AA9" s="1">
        <f t="shared" si="12"/>
        <v>0.62920181700194677</v>
      </c>
      <c r="AB9" s="1">
        <f t="shared" si="13"/>
        <v>3.8935756002595715E-4</v>
      </c>
      <c r="AC9" s="1">
        <f t="shared" si="14"/>
        <v>5.3861129136924077E-2</v>
      </c>
      <c r="AD9" s="1">
        <f t="shared" si="15"/>
        <v>0.15405580791693704</v>
      </c>
      <c r="AE9" s="1">
        <f t="shared" si="16"/>
        <v>9.0720311486048019E-2</v>
      </c>
      <c r="AF9" s="1">
        <f t="shared" si="17"/>
        <v>5.1070733290071384E-2</v>
      </c>
      <c r="AG9" s="1">
        <f t="shared" si="18"/>
        <v>2.0700843608046724E-2</v>
      </c>
      <c r="AH9" s="1">
        <f t="shared" si="19"/>
        <v>0.37079818299805323</v>
      </c>
      <c r="AI9" s="2">
        <f t="shared" si="20"/>
        <v>9.286177806619078E-4</v>
      </c>
      <c r="AJ9" s="2">
        <f t="shared" si="21"/>
        <v>0.15136469824789101</v>
      </c>
      <c r="AK9" s="2">
        <f t="shared" si="22"/>
        <v>0.43562491888384164</v>
      </c>
      <c r="AL9" s="2">
        <f t="shared" si="23"/>
        <v>0.23318624269954577</v>
      </c>
      <c r="AM9" s="2">
        <f t="shared" si="24"/>
        <v>0.13217326411421157</v>
      </c>
      <c r="AN9" s="2">
        <f t="shared" si="25"/>
        <v>4.7153147306943546E-2</v>
      </c>
      <c r="AO9" s="2">
        <f t="shared" si="26"/>
        <v>1.0004308890330955</v>
      </c>
      <c r="AP9" s="2">
        <f t="shared" si="27"/>
        <v>6.190785204412719E-4</v>
      </c>
      <c r="AQ9" s="2">
        <f t="shared" si="28"/>
        <v>8.5639195327709292E-2</v>
      </c>
      <c r="AR9" s="2">
        <f t="shared" si="29"/>
        <v>0.2449487345879299</v>
      </c>
      <c r="AS9" s="2">
        <f t="shared" si="30"/>
        <v>0.14424529526281635</v>
      </c>
      <c r="AT9" s="2">
        <f t="shared" si="31"/>
        <v>8.1202465931213511E-2</v>
      </c>
      <c r="AU9" s="2">
        <f t="shared" si="32"/>
        <v>3.2914341336794294E-2</v>
      </c>
      <c r="AV9" s="2">
        <f t="shared" si="33"/>
        <v>0.58956911096690467</v>
      </c>
      <c r="AW9">
        <v>122900</v>
      </c>
      <c r="AX9" s="33">
        <v>1593144000</v>
      </c>
      <c r="AY9" s="33">
        <f t="shared" si="34"/>
        <v>115006000</v>
      </c>
      <c r="AZ9">
        <v>132544000</v>
      </c>
      <c r="BA9">
        <v>15941000</v>
      </c>
      <c r="BB9">
        <v>24167000</v>
      </c>
      <c r="BC9">
        <v>12636000</v>
      </c>
      <c r="BD9">
        <v>9628000</v>
      </c>
      <c r="BE9">
        <v>17538000</v>
      </c>
      <c r="BF9">
        <v>11754000</v>
      </c>
      <c r="BG9">
        <v>2641000</v>
      </c>
      <c r="BH9">
        <v>37939000</v>
      </c>
      <c r="BI9">
        <v>300000</v>
      </c>
      <c r="BJ9">
        <v>1413915000</v>
      </c>
      <c r="BK9">
        <v>900579000</v>
      </c>
      <c r="BL9">
        <v>46685000</v>
      </c>
      <c r="BM9">
        <v>38421000</v>
      </c>
      <c r="BN9" s="1">
        <f t="shared" si="4"/>
        <v>8.3196496989600438E-2</v>
      </c>
      <c r="BO9" s="1">
        <f t="shared" si="35"/>
        <v>1.0006000713055442E-2</v>
      </c>
      <c r="BP9" s="1">
        <f t="shared" si="36"/>
        <v>1.5169375775196718E-2</v>
      </c>
      <c r="BQ9" s="1">
        <f t="shared" si="37"/>
        <v>7.9314864193067297E-3</v>
      </c>
      <c r="BR9" s="1">
        <f t="shared" si="38"/>
        <v>6.0433959516528321E-3</v>
      </c>
      <c r="BS9" s="1">
        <f t="shared" si="39"/>
        <v>1.1008421084346425E-2</v>
      </c>
      <c r="BT9" s="1">
        <f t="shared" si="40"/>
        <v>7.3778641478736383E-3</v>
      </c>
      <c r="BU9" s="1">
        <f t="shared" si="41"/>
        <v>1.6577283660485179E-3</v>
      </c>
      <c r="BV9" s="1">
        <f t="shared" si="42"/>
        <v>2.3813917637074866E-2</v>
      </c>
      <c r="BW9" s="1">
        <f t="shared" si="43"/>
        <v>1.8830689504526898E-4</v>
      </c>
      <c r="BX9" s="1">
        <f t="shared" si="44"/>
        <v>0.88749981169310499</v>
      </c>
      <c r="BY9" s="1">
        <f t="shared" si="45"/>
        <v>0.56528411744324425</v>
      </c>
      <c r="BZ9" s="1">
        <f t="shared" si="46"/>
        <v>2.9303691317294607E-2</v>
      </c>
      <c r="CA9" s="1">
        <f t="shared" si="47"/>
        <v>2.4116464048447597E-2</v>
      </c>
      <c r="CB9" s="2">
        <f t="shared" si="48"/>
        <v>0.1322824302134647</v>
      </c>
      <c r="CC9" s="2">
        <f t="shared" si="49"/>
        <v>1.5909541133758153E-2</v>
      </c>
      <c r="CD9" s="2">
        <f t="shared" si="50"/>
        <v>2.4119307482562784E-2</v>
      </c>
      <c r="CE9" s="2">
        <f t="shared" si="51"/>
        <v>1.26110634066977E-2</v>
      </c>
      <c r="CF9" s="2">
        <f t="shared" si="52"/>
        <v>9.6089995631280043E-3</v>
      </c>
      <c r="CG9" s="2">
        <f t="shared" si="53"/>
        <v>1.7503389524110815E-2</v>
      </c>
      <c r="CH9" s="2">
        <f t="shared" si="54"/>
        <v>1.1730803995119086E-2</v>
      </c>
      <c r="CI9" s="2">
        <f t="shared" si="55"/>
        <v>2.6357881020171435E-3</v>
      </c>
      <c r="CJ9" s="2">
        <f t="shared" si="56"/>
        <v>3.7864129042949037E-2</v>
      </c>
      <c r="CK9" s="2">
        <f t="shared" si="57"/>
        <v>2.9940796312197769E-4</v>
      </c>
      <c r="CL9" s="2">
        <f t="shared" si="58"/>
        <v>1.4111247005920371</v>
      </c>
      <c r="CM9" s="2">
        <f t="shared" si="59"/>
        <v>0.89880174673475843</v>
      </c>
      <c r="CN9" s="2">
        <f t="shared" si="60"/>
        <v>4.6592869194498426E-2</v>
      </c>
      <c r="CO9" s="2">
        <f t="shared" si="61"/>
        <v>3.8345177837031681E-2</v>
      </c>
    </row>
    <row r="10" spans="1:93" x14ac:dyDescent="0.25">
      <c r="A10" s="29">
        <v>51</v>
      </c>
      <c r="B10" t="s">
        <v>8</v>
      </c>
      <c r="C10">
        <v>228949</v>
      </c>
      <c r="D10">
        <v>0.35</v>
      </c>
      <c r="E10">
        <v>0.94</v>
      </c>
      <c r="F10">
        <v>600</v>
      </c>
      <c r="G10">
        <v>11700</v>
      </c>
      <c r="H10">
        <v>40700</v>
      </c>
      <c r="I10">
        <v>24000</v>
      </c>
      <c r="J10">
        <v>19400</v>
      </c>
      <c r="K10">
        <v>13100</v>
      </c>
      <c r="L10">
        <v>109400</v>
      </c>
      <c r="M10">
        <v>600</v>
      </c>
      <c r="N10">
        <v>13300</v>
      </c>
      <c r="O10">
        <v>47800</v>
      </c>
      <c r="P10">
        <v>26700</v>
      </c>
      <c r="Q10">
        <v>18100</v>
      </c>
      <c r="R10">
        <v>12200</v>
      </c>
      <c r="S10">
        <v>118700</v>
      </c>
      <c r="T10">
        <f t="shared" si="0"/>
        <v>228100</v>
      </c>
      <c r="U10" s="1">
        <f t="shared" si="1"/>
        <v>2.6304252520824201E-3</v>
      </c>
      <c r="V10" s="1">
        <f t="shared" si="7"/>
        <v>5.1293292415607192E-2</v>
      </c>
      <c r="W10" s="1">
        <f t="shared" si="8"/>
        <v>0.17843051293292417</v>
      </c>
      <c r="X10" s="1">
        <f t="shared" si="9"/>
        <v>0.1052170100832968</v>
      </c>
      <c r="Y10" s="1">
        <f t="shared" si="10"/>
        <v>8.5050416483998248E-2</v>
      </c>
      <c r="Z10" s="1">
        <f t="shared" si="11"/>
        <v>5.7430951337132836E-2</v>
      </c>
      <c r="AA10" s="1">
        <f t="shared" si="12"/>
        <v>0.47961420429636126</v>
      </c>
      <c r="AB10" s="1">
        <f t="shared" si="13"/>
        <v>2.6304252520824201E-3</v>
      </c>
      <c r="AC10" s="1">
        <f t="shared" si="14"/>
        <v>5.8307759754493642E-2</v>
      </c>
      <c r="AD10" s="1">
        <f t="shared" si="15"/>
        <v>0.20955721174923278</v>
      </c>
      <c r="AE10" s="1">
        <f t="shared" si="16"/>
        <v>0.11705392371766769</v>
      </c>
      <c r="AF10" s="1">
        <f t="shared" si="17"/>
        <v>7.9351161771153006E-2</v>
      </c>
      <c r="AG10" s="1">
        <f t="shared" si="18"/>
        <v>5.3485313459009205E-2</v>
      </c>
      <c r="AH10" s="1">
        <f t="shared" si="19"/>
        <v>0.52038579570363874</v>
      </c>
      <c r="AI10" s="2">
        <f t="shared" si="20"/>
        <v>2.4725997369574749E-3</v>
      </c>
      <c r="AJ10" s="2">
        <f t="shared" si="21"/>
        <v>4.8215694870670754E-2</v>
      </c>
      <c r="AK10" s="2">
        <f t="shared" si="22"/>
        <v>0.16772468215694872</v>
      </c>
      <c r="AL10" s="2">
        <f t="shared" si="23"/>
        <v>9.8903989478298981E-2</v>
      </c>
      <c r="AM10" s="2">
        <f t="shared" si="24"/>
        <v>7.9947391494958345E-2</v>
      </c>
      <c r="AN10" s="2">
        <f t="shared" si="25"/>
        <v>5.3985094256904863E-2</v>
      </c>
      <c r="AO10" s="2">
        <f t="shared" si="26"/>
        <v>0.45083735203857955</v>
      </c>
      <c r="AP10" s="2">
        <f t="shared" si="27"/>
        <v>2.4725997369574749E-3</v>
      </c>
      <c r="AQ10" s="2">
        <f t="shared" si="28"/>
        <v>5.4809294169224018E-2</v>
      </c>
      <c r="AR10" s="2">
        <f t="shared" si="29"/>
        <v>0.1969837790442788</v>
      </c>
      <c r="AS10" s="2">
        <f t="shared" si="30"/>
        <v>0.11003068829460763</v>
      </c>
      <c r="AT10" s="2">
        <f t="shared" si="31"/>
        <v>7.4590092064883817E-2</v>
      </c>
      <c r="AU10" s="2">
        <f t="shared" si="32"/>
        <v>5.0276194651468653E-2</v>
      </c>
      <c r="AV10" s="2">
        <f t="shared" si="33"/>
        <v>0.48916264796142039</v>
      </c>
      <c r="AW10">
        <v>715300</v>
      </c>
      <c r="AX10" s="33">
        <v>1779924000</v>
      </c>
      <c r="AY10" s="33">
        <f t="shared" si="34"/>
        <v>200676000</v>
      </c>
      <c r="AZ10">
        <v>329600000</v>
      </c>
      <c r="BA10">
        <v>76133000</v>
      </c>
      <c r="BB10">
        <v>26493000</v>
      </c>
      <c r="BC10">
        <v>13691000</v>
      </c>
      <c r="BD10">
        <v>21706000</v>
      </c>
      <c r="BE10">
        <v>128924000</v>
      </c>
      <c r="BF10">
        <v>26624000</v>
      </c>
      <c r="BG10">
        <v>10599000</v>
      </c>
      <c r="BH10">
        <v>24874000</v>
      </c>
      <c r="BI10">
        <v>554000</v>
      </c>
      <c r="BJ10">
        <v>1063991000</v>
      </c>
      <c r="BK10">
        <v>230483000</v>
      </c>
      <c r="BL10">
        <v>386334000</v>
      </c>
      <c r="BM10">
        <v>222060000</v>
      </c>
      <c r="BN10" s="1">
        <f t="shared" si="4"/>
        <v>0.18517644573588535</v>
      </c>
      <c r="BO10" s="1">
        <f t="shared" si="35"/>
        <v>4.2773174584982282E-2</v>
      </c>
      <c r="BP10" s="1">
        <f t="shared" si="36"/>
        <v>1.488434337645877E-2</v>
      </c>
      <c r="BQ10" s="1">
        <f t="shared" si="37"/>
        <v>7.6919014519721066E-3</v>
      </c>
      <c r="BR10" s="1">
        <f t="shared" si="38"/>
        <v>1.2194902703710944E-2</v>
      </c>
      <c r="BS10" s="1">
        <f t="shared" si="39"/>
        <v>7.2432306098462629E-2</v>
      </c>
      <c r="BT10" s="1">
        <f t="shared" si="40"/>
        <v>1.4957942024490934E-2</v>
      </c>
      <c r="BU10" s="1">
        <f t="shared" si="41"/>
        <v>5.9547486297167745E-3</v>
      </c>
      <c r="BV10" s="1">
        <f t="shared" si="42"/>
        <v>1.3974753978259745E-2</v>
      </c>
      <c r="BW10" s="1">
        <f t="shared" si="43"/>
        <v>3.1124924434975873E-4</v>
      </c>
      <c r="BX10" s="1">
        <f t="shared" si="44"/>
        <v>0.59777327571289562</v>
      </c>
      <c r="BY10" s="1">
        <f t="shared" si="45"/>
        <v>0.12949036026257302</v>
      </c>
      <c r="BZ10" s="1">
        <f t="shared" si="46"/>
        <v>0.21705084037295974</v>
      </c>
      <c r="CA10" s="1">
        <f t="shared" si="47"/>
        <v>0.12475813574062712</v>
      </c>
      <c r="CB10" s="2">
        <f t="shared" si="48"/>
        <v>0.17406585899173221</v>
      </c>
      <c r="CC10" s="2">
        <f t="shared" si="49"/>
        <v>4.0206784109883341E-2</v>
      </c>
      <c r="CD10" s="2">
        <f t="shared" si="50"/>
        <v>1.3991282773871242E-2</v>
      </c>
      <c r="CE10" s="2">
        <f t="shared" si="51"/>
        <v>7.2303873648537796E-3</v>
      </c>
      <c r="CF10" s="2">
        <f t="shared" si="52"/>
        <v>1.1463208541488287E-2</v>
      </c>
      <c r="CG10" s="2">
        <f t="shared" si="53"/>
        <v>6.8086367732554873E-2</v>
      </c>
      <c r="CH10" s="2">
        <f t="shared" si="54"/>
        <v>1.4060465503021476E-2</v>
      </c>
      <c r="CI10" s="2">
        <f t="shared" si="55"/>
        <v>5.5974637119337676E-3</v>
      </c>
      <c r="CJ10" s="2">
        <f t="shared" si="56"/>
        <v>1.3136268739564159E-2</v>
      </c>
      <c r="CK10" s="2">
        <f t="shared" si="57"/>
        <v>2.9257428968877317E-4</v>
      </c>
      <c r="CL10" s="2">
        <f t="shared" si="58"/>
        <v>0.56190687917012183</v>
      </c>
      <c r="CM10" s="2">
        <f t="shared" si="59"/>
        <v>0.12172093864681863</v>
      </c>
      <c r="CN10" s="2">
        <f t="shared" si="60"/>
        <v>0.20402778995058216</v>
      </c>
      <c r="CO10" s="2">
        <f t="shared" si="61"/>
        <v>0.11727264759618949</v>
      </c>
    </row>
    <row r="11" spans="1:93" x14ac:dyDescent="0.25">
      <c r="A11" s="29">
        <v>20</v>
      </c>
      <c r="B11" t="s">
        <v>9</v>
      </c>
      <c r="C11">
        <v>2994072</v>
      </c>
      <c r="D11">
        <v>4.5</v>
      </c>
      <c r="E11">
        <v>2.88</v>
      </c>
      <c r="F11">
        <v>29900</v>
      </c>
      <c r="G11">
        <v>414900</v>
      </c>
      <c r="H11">
        <v>1429300</v>
      </c>
      <c r="I11">
        <v>986400</v>
      </c>
      <c r="J11">
        <v>897800</v>
      </c>
      <c r="K11">
        <v>1074300</v>
      </c>
      <c r="L11">
        <v>4832700</v>
      </c>
      <c r="M11">
        <v>14400</v>
      </c>
      <c r="N11">
        <v>640800</v>
      </c>
      <c r="O11">
        <v>2491900</v>
      </c>
      <c r="P11">
        <v>1829300</v>
      </c>
      <c r="Q11">
        <v>1783100</v>
      </c>
      <c r="R11">
        <v>2776500</v>
      </c>
      <c r="S11">
        <v>9536200</v>
      </c>
      <c r="T11">
        <f t="shared" si="0"/>
        <v>14368900</v>
      </c>
      <c r="U11" s="1">
        <f t="shared" si="1"/>
        <v>2.0808830181851083E-3</v>
      </c>
      <c r="V11" s="1">
        <f t="shared" si="7"/>
        <v>2.8874861680434828E-2</v>
      </c>
      <c r="W11" s="1">
        <f t="shared" si="8"/>
        <v>9.9471775849229935E-2</v>
      </c>
      <c r="X11" s="1">
        <f t="shared" si="9"/>
        <v>6.8648261175176944E-2</v>
      </c>
      <c r="Y11" s="1">
        <f t="shared" si="10"/>
        <v>6.2482166345370904E-2</v>
      </c>
      <c r="Z11" s="1">
        <f t="shared" si="11"/>
        <v>7.4765639680142534E-2</v>
      </c>
      <c r="AA11" s="1">
        <f t="shared" si="12"/>
        <v>0.33633054722351746</v>
      </c>
      <c r="AB11" s="1">
        <f t="shared" si="13"/>
        <v>1.0021643967179116E-3</v>
      </c>
      <c r="AC11" s="1">
        <f t="shared" si="14"/>
        <v>4.4596315653947068E-2</v>
      </c>
      <c r="AD11" s="1">
        <f t="shared" si="15"/>
        <v>0.17342315695703917</v>
      </c>
      <c r="AE11" s="1">
        <f t="shared" si="16"/>
        <v>0.12730967575806082</v>
      </c>
      <c r="AF11" s="1">
        <f t="shared" si="17"/>
        <v>0.12409439831859084</v>
      </c>
      <c r="AG11" s="1">
        <f t="shared" si="18"/>
        <v>0.19322982274217232</v>
      </c>
      <c r="AH11" s="1">
        <f t="shared" si="19"/>
        <v>0.66366945277648259</v>
      </c>
      <c r="AI11" s="2">
        <f t="shared" si="20"/>
        <v>5.9929430923731115E-3</v>
      </c>
      <c r="AJ11" s="2">
        <f t="shared" si="21"/>
        <v>8.3159601639652303E-2</v>
      </c>
      <c r="AK11" s="2">
        <f t="shared" si="22"/>
        <v>0.28647871444578221</v>
      </c>
      <c r="AL11" s="2">
        <f t="shared" si="23"/>
        <v>0.1977069921845096</v>
      </c>
      <c r="AM11" s="2">
        <f t="shared" si="24"/>
        <v>0.17994863907466821</v>
      </c>
      <c r="AN11" s="2">
        <f t="shared" si="25"/>
        <v>0.2153250422788105</v>
      </c>
      <c r="AO11" s="2">
        <f t="shared" si="26"/>
        <v>0.9686319760037303</v>
      </c>
      <c r="AP11" s="2">
        <f t="shared" si="27"/>
        <v>2.8862334625475855E-3</v>
      </c>
      <c r="AQ11" s="2">
        <f t="shared" si="28"/>
        <v>0.12843738908336755</v>
      </c>
      <c r="AR11" s="2">
        <f t="shared" si="29"/>
        <v>0.4994586920362728</v>
      </c>
      <c r="AS11" s="2">
        <f t="shared" si="30"/>
        <v>0.36665186618321516</v>
      </c>
      <c r="AT11" s="2">
        <f t="shared" si="31"/>
        <v>0.35739186715754162</v>
      </c>
      <c r="AU11" s="2">
        <f t="shared" si="32"/>
        <v>0.55650188949745627</v>
      </c>
      <c r="AV11" s="2">
        <f t="shared" si="33"/>
        <v>1.9113680239962698</v>
      </c>
      <c r="AW11">
        <v>228100</v>
      </c>
      <c r="AX11" s="33">
        <v>937950000</v>
      </c>
      <c r="AY11" s="33">
        <f t="shared" si="34"/>
        <v>123755000</v>
      </c>
      <c r="AZ11">
        <v>604595000</v>
      </c>
      <c r="BA11">
        <v>43238000</v>
      </c>
      <c r="BB11">
        <v>5449000</v>
      </c>
      <c r="BC11">
        <v>31633000</v>
      </c>
      <c r="BD11">
        <v>7322000</v>
      </c>
      <c r="BE11">
        <v>480840000</v>
      </c>
      <c r="BF11">
        <v>9710000</v>
      </c>
      <c r="BG11">
        <v>12685000</v>
      </c>
      <c r="BH11">
        <v>10355000</v>
      </c>
      <c r="BI11">
        <v>3363000</v>
      </c>
      <c r="BJ11">
        <v>146441000</v>
      </c>
      <c r="BK11">
        <v>108527000</v>
      </c>
      <c r="BL11">
        <v>186914000</v>
      </c>
      <c r="BM11">
        <v>57647000</v>
      </c>
      <c r="BN11" s="1">
        <f t="shared" si="4"/>
        <v>0.64459192920731379</v>
      </c>
      <c r="BO11" s="1">
        <f t="shared" si="35"/>
        <v>4.6098406098406097E-2</v>
      </c>
      <c r="BP11" s="1">
        <f t="shared" si="36"/>
        <v>5.8094781171704251E-3</v>
      </c>
      <c r="BQ11" s="1">
        <f t="shared" si="37"/>
        <v>3.3725678341062958E-2</v>
      </c>
      <c r="BR11" s="1">
        <f t="shared" si="38"/>
        <v>7.8063862679247295E-3</v>
      </c>
      <c r="BS11" s="1">
        <f t="shared" si="39"/>
        <v>0.51264992803454346</v>
      </c>
      <c r="BT11" s="1">
        <f t="shared" si="40"/>
        <v>1.0352364198518045E-2</v>
      </c>
      <c r="BU11" s="1">
        <f t="shared" si="41"/>
        <v>1.3524175062636602E-2</v>
      </c>
      <c r="BV11" s="1">
        <f t="shared" si="42"/>
        <v>1.1040034116957195E-2</v>
      </c>
      <c r="BW11" s="1">
        <f t="shared" si="43"/>
        <v>3.5854789700943547E-3</v>
      </c>
      <c r="BX11" s="1">
        <f t="shared" si="44"/>
        <v>0.15612879151340689</v>
      </c>
      <c r="BY11" s="1">
        <f t="shared" si="45"/>
        <v>0.11570659416813263</v>
      </c>
      <c r="BZ11" s="1">
        <f t="shared" si="46"/>
        <v>0.19927927927927927</v>
      </c>
      <c r="CA11" s="1">
        <f t="shared" si="47"/>
        <v>6.1460632229862998E-2</v>
      </c>
      <c r="CB11" s="2">
        <f t="shared" si="48"/>
        <v>1.8564247561170637</v>
      </c>
      <c r="CC11" s="2">
        <f t="shared" si="49"/>
        <v>0.13276340956340957</v>
      </c>
      <c r="CD11" s="2">
        <f t="shared" si="50"/>
        <v>1.6731296977450825E-2</v>
      </c>
      <c r="CE11" s="2">
        <f t="shared" si="51"/>
        <v>9.7129953622261317E-2</v>
      </c>
      <c r="CF11" s="2">
        <f t="shared" si="52"/>
        <v>2.2482392451623222E-2</v>
      </c>
      <c r="CG11" s="2">
        <f t="shared" si="53"/>
        <v>1.476431792739485</v>
      </c>
      <c r="CH11" s="2">
        <f t="shared" si="54"/>
        <v>2.9814808891731968E-2</v>
      </c>
      <c r="CI11" s="2">
        <f t="shared" si="55"/>
        <v>3.8949624180393411E-2</v>
      </c>
      <c r="CJ11" s="2">
        <f t="shared" si="56"/>
        <v>3.1795298256836718E-2</v>
      </c>
      <c r="CK11" s="2">
        <f t="shared" si="57"/>
        <v>1.0326179433871742E-2</v>
      </c>
      <c r="CL11" s="2">
        <f t="shared" si="58"/>
        <v>0.44965091955861181</v>
      </c>
      <c r="CM11" s="2">
        <f t="shared" si="59"/>
        <v>0.33323499120422195</v>
      </c>
      <c r="CN11" s="2">
        <f t="shared" si="60"/>
        <v>0.57392432432432428</v>
      </c>
      <c r="CO11" s="2">
        <f t="shared" si="61"/>
        <v>0.17700662082200544</v>
      </c>
    </row>
    <row r="12" spans="1:93" x14ac:dyDescent="0.25">
      <c r="A12" s="29">
        <v>33</v>
      </c>
      <c r="B12" t="s">
        <v>10</v>
      </c>
      <c r="C12">
        <v>7329506</v>
      </c>
      <c r="D12">
        <v>11</v>
      </c>
      <c r="E12">
        <v>4.26</v>
      </c>
      <c r="F12">
        <v>9700</v>
      </c>
      <c r="G12">
        <v>158800</v>
      </c>
      <c r="H12">
        <v>2307000</v>
      </c>
      <c r="I12">
        <v>3693700</v>
      </c>
      <c r="J12">
        <v>4827200</v>
      </c>
      <c r="K12">
        <v>4381900</v>
      </c>
      <c r="L12">
        <v>15378300</v>
      </c>
      <c r="M12">
        <v>7200</v>
      </c>
      <c r="N12">
        <v>200500</v>
      </c>
      <c r="O12">
        <v>2249700</v>
      </c>
      <c r="P12">
        <v>3414000</v>
      </c>
      <c r="Q12">
        <v>4975900</v>
      </c>
      <c r="R12">
        <v>6972800</v>
      </c>
      <c r="S12">
        <v>17820400</v>
      </c>
      <c r="T12">
        <f t="shared" si="0"/>
        <v>33198700</v>
      </c>
      <c r="U12" s="1">
        <f t="shared" si="1"/>
        <v>2.9218011548644979E-4</v>
      </c>
      <c r="V12" s="1">
        <f t="shared" si="7"/>
        <v>4.7833198287884765E-3</v>
      </c>
      <c r="W12" s="1">
        <f t="shared" si="8"/>
        <v>6.9490672827550476E-2</v>
      </c>
      <c r="X12" s="1">
        <f t="shared" si="9"/>
        <v>0.11126038067755666</v>
      </c>
      <c r="Y12" s="1">
        <f t="shared" si="10"/>
        <v>0.14540328386352477</v>
      </c>
      <c r="Z12" s="1">
        <f t="shared" si="11"/>
        <v>0.13199010804639941</v>
      </c>
      <c r="AA12" s="1">
        <f t="shared" si="12"/>
        <v>0.46321994535930622</v>
      </c>
      <c r="AB12" s="1">
        <f t="shared" si="13"/>
        <v>2.1687596201056065E-4</v>
      </c>
      <c r="AC12" s="1">
        <f t="shared" si="14"/>
        <v>6.0393931087663073E-3</v>
      </c>
      <c r="AD12" s="1">
        <f t="shared" si="15"/>
        <v>6.7764701629883101E-2</v>
      </c>
      <c r="AE12" s="1">
        <f t="shared" si="16"/>
        <v>0.10283535198667418</v>
      </c>
      <c r="AF12" s="1">
        <f t="shared" si="17"/>
        <v>0.14988237491227066</v>
      </c>
      <c r="AG12" s="1">
        <f t="shared" si="18"/>
        <v>0.21003232054267185</v>
      </c>
      <c r="AH12" s="1">
        <f t="shared" si="19"/>
        <v>0.53678005464069378</v>
      </c>
      <c r="AI12" s="2">
        <f t="shared" si="20"/>
        <v>1.244687291972276E-3</v>
      </c>
      <c r="AJ12" s="2">
        <f t="shared" si="21"/>
        <v>2.0376942470638908E-2</v>
      </c>
      <c r="AK12" s="2">
        <f t="shared" si="22"/>
        <v>0.29603026624536499</v>
      </c>
      <c r="AL12" s="2">
        <f t="shared" si="23"/>
        <v>0.47396922168639133</v>
      </c>
      <c r="AM12" s="2">
        <f t="shared" si="24"/>
        <v>0.61941798925861546</v>
      </c>
      <c r="AN12" s="2">
        <f t="shared" si="25"/>
        <v>0.56227786027766147</v>
      </c>
      <c r="AO12" s="2">
        <f t="shared" si="26"/>
        <v>1.9733169672306443</v>
      </c>
      <c r="AP12" s="2">
        <f t="shared" si="27"/>
        <v>9.2389159816498828E-4</v>
      </c>
      <c r="AQ12" s="2">
        <f t="shared" si="28"/>
        <v>2.5727814643344466E-2</v>
      </c>
      <c r="AR12" s="2">
        <f t="shared" si="29"/>
        <v>0.28867762894330201</v>
      </c>
      <c r="AS12" s="2">
        <f t="shared" si="30"/>
        <v>0.43807859946323197</v>
      </c>
      <c r="AT12" s="2">
        <f t="shared" si="31"/>
        <v>0.63849891712627294</v>
      </c>
      <c r="AU12" s="2">
        <f t="shared" si="32"/>
        <v>0.89473768551178201</v>
      </c>
      <c r="AV12" s="2">
        <f t="shared" si="33"/>
        <v>2.2866830327693553</v>
      </c>
      <c r="AW12">
        <v>2924800</v>
      </c>
      <c r="AX12" s="33">
        <v>2849266000</v>
      </c>
      <c r="AY12" s="33">
        <f t="shared" si="34"/>
        <v>855711000</v>
      </c>
      <c r="AZ12">
        <v>1183330000</v>
      </c>
      <c r="BA12">
        <v>432429000</v>
      </c>
      <c r="BB12">
        <v>50788000</v>
      </c>
      <c r="BC12">
        <v>120653000</v>
      </c>
      <c r="BD12">
        <v>80691000</v>
      </c>
      <c r="BE12">
        <v>327619000</v>
      </c>
      <c r="BF12">
        <v>94948000</v>
      </c>
      <c r="BG12">
        <v>49994000</v>
      </c>
      <c r="BH12">
        <v>15616000</v>
      </c>
      <c r="BI12">
        <v>10590000</v>
      </c>
      <c r="BJ12">
        <v>225305000</v>
      </c>
      <c r="BK12">
        <v>13433000</v>
      </c>
      <c r="BL12">
        <v>1440632000</v>
      </c>
      <c r="BM12">
        <v>935320000</v>
      </c>
      <c r="BN12" s="1">
        <f t="shared" si="4"/>
        <v>0.41531046943318034</v>
      </c>
      <c r="BO12" s="1">
        <f t="shared" si="35"/>
        <v>0.15176856074511821</v>
      </c>
      <c r="BP12" s="1">
        <f t="shared" si="36"/>
        <v>1.7824941581445888E-2</v>
      </c>
      <c r="BQ12" s="1">
        <f t="shared" si="37"/>
        <v>4.2345291734783623E-2</v>
      </c>
      <c r="BR12" s="1">
        <f t="shared" si="38"/>
        <v>2.8319925201788811E-2</v>
      </c>
      <c r="BS12" s="1">
        <f t="shared" si="39"/>
        <v>0.11498364842033001</v>
      </c>
      <c r="BT12" s="1">
        <f t="shared" si="40"/>
        <v>3.332367002589439E-2</v>
      </c>
      <c r="BU12" s="1">
        <f t="shared" si="41"/>
        <v>1.7546273320918439E-2</v>
      </c>
      <c r="BV12" s="1">
        <f t="shared" si="42"/>
        <v>5.4807097687614983E-3</v>
      </c>
      <c r="BW12" s="1">
        <f t="shared" si="43"/>
        <v>3.7167466989744026E-3</v>
      </c>
      <c r="BX12" s="1">
        <f t="shared" si="44"/>
        <v>7.9074751181532371E-2</v>
      </c>
      <c r="BY12" s="1">
        <f t="shared" si="45"/>
        <v>4.7145475361022801E-3</v>
      </c>
      <c r="BZ12" s="1">
        <f t="shared" si="46"/>
        <v>0.50561513035286987</v>
      </c>
      <c r="CA12" s="1">
        <f t="shared" si="47"/>
        <v>0.32826699929034353</v>
      </c>
      <c r="CB12" s="2">
        <f t="shared" si="48"/>
        <v>1.7692225997853481</v>
      </c>
      <c r="CC12" s="2">
        <f t="shared" si="49"/>
        <v>0.64653406877420361</v>
      </c>
      <c r="CD12" s="2">
        <f t="shared" si="50"/>
        <v>7.593425113695948E-2</v>
      </c>
      <c r="CE12" s="2">
        <f t="shared" si="51"/>
        <v>0.18039094279017823</v>
      </c>
      <c r="CF12" s="2">
        <f t="shared" si="52"/>
        <v>0.12064288135962033</v>
      </c>
      <c r="CG12" s="2">
        <f t="shared" si="53"/>
        <v>0.48983034227060585</v>
      </c>
      <c r="CH12" s="2">
        <f t="shared" si="54"/>
        <v>0.14195883431031009</v>
      </c>
      <c r="CI12" s="2">
        <f t="shared" si="55"/>
        <v>7.4747124347112545E-2</v>
      </c>
      <c r="CJ12" s="2">
        <f t="shared" si="56"/>
        <v>2.334782361492398E-2</v>
      </c>
      <c r="CK12" s="2">
        <f t="shared" si="57"/>
        <v>1.5833340937630953E-2</v>
      </c>
      <c r="CL12" s="2">
        <f t="shared" si="58"/>
        <v>0.33685844003332788</v>
      </c>
      <c r="CM12" s="2">
        <f t="shared" si="59"/>
        <v>2.0083972503795712E-2</v>
      </c>
      <c r="CN12" s="2">
        <f t="shared" si="60"/>
        <v>2.1539204553032256</v>
      </c>
      <c r="CO12" s="2">
        <f t="shared" si="61"/>
        <v>1.3984174169768633</v>
      </c>
    </row>
    <row r="13" spans="1:93" x14ac:dyDescent="0.25">
      <c r="A13" s="29">
        <v>21</v>
      </c>
      <c r="B13" t="s">
        <v>11</v>
      </c>
      <c r="C13">
        <v>3077668</v>
      </c>
      <c r="D13">
        <v>4.5999999999999996</v>
      </c>
      <c r="E13">
        <v>2.5299999999999998</v>
      </c>
      <c r="F13">
        <v>10100</v>
      </c>
      <c r="G13">
        <v>170800</v>
      </c>
      <c r="H13">
        <v>673700</v>
      </c>
      <c r="I13">
        <v>496400</v>
      </c>
      <c r="J13">
        <v>500400</v>
      </c>
      <c r="K13">
        <v>577800</v>
      </c>
      <c r="L13">
        <v>2429500</v>
      </c>
      <c r="M13">
        <v>7400</v>
      </c>
      <c r="N13">
        <v>261700</v>
      </c>
      <c r="O13">
        <v>1050700</v>
      </c>
      <c r="P13">
        <v>833500</v>
      </c>
      <c r="Q13">
        <v>947400</v>
      </c>
      <c r="R13">
        <v>1535400</v>
      </c>
      <c r="S13">
        <v>4636200</v>
      </c>
      <c r="T13">
        <f t="shared" si="0"/>
        <v>7065700</v>
      </c>
      <c r="U13" s="1">
        <f t="shared" si="1"/>
        <v>1.429440819734775E-3</v>
      </c>
      <c r="V13" s="1">
        <f t="shared" si="7"/>
        <v>2.4173118020861344E-2</v>
      </c>
      <c r="W13" s="1">
        <f t="shared" si="8"/>
        <v>9.5347948540130484E-2</v>
      </c>
      <c r="X13" s="1">
        <f t="shared" si="9"/>
        <v>7.0254893358053697E-2</v>
      </c>
      <c r="Y13" s="1">
        <f t="shared" si="10"/>
        <v>7.0821008534186283E-2</v>
      </c>
      <c r="Z13" s="1">
        <f t="shared" si="11"/>
        <v>8.1775337192351791E-2</v>
      </c>
      <c r="AA13" s="1">
        <f t="shared" si="12"/>
        <v>0.34384420510352831</v>
      </c>
      <c r="AB13" s="1">
        <f t="shared" si="13"/>
        <v>1.0473130758452808E-3</v>
      </c>
      <c r="AC13" s="1">
        <f t="shared" si="14"/>
        <v>3.7038085398474321E-2</v>
      </c>
      <c r="AD13" s="1">
        <f t="shared" si="15"/>
        <v>0.14870430389062655</v>
      </c>
      <c r="AE13" s="1">
        <f t="shared" si="16"/>
        <v>0.11796424982662723</v>
      </c>
      <c r="AF13" s="1">
        <f t="shared" si="17"/>
        <v>0.13408437946700255</v>
      </c>
      <c r="AG13" s="1">
        <f t="shared" si="18"/>
        <v>0.21730331035849243</v>
      </c>
      <c r="AH13" s="1">
        <f t="shared" si="19"/>
        <v>0.65615579489647169</v>
      </c>
      <c r="AI13" s="2">
        <f t="shared" si="20"/>
        <v>3.6164852739289806E-3</v>
      </c>
      <c r="AJ13" s="2">
        <f t="shared" si="21"/>
        <v>6.1157988592779197E-2</v>
      </c>
      <c r="AK13" s="2">
        <f t="shared" si="22"/>
        <v>0.2412303098065301</v>
      </c>
      <c r="AL13" s="2">
        <f t="shared" si="23"/>
        <v>0.17774488019587584</v>
      </c>
      <c r="AM13" s="2">
        <f t="shared" si="24"/>
        <v>0.17917715159149128</v>
      </c>
      <c r="AN13" s="2">
        <f t="shared" si="25"/>
        <v>0.20689160309665</v>
      </c>
      <c r="AO13" s="2">
        <f t="shared" si="26"/>
        <v>0.86992583891192654</v>
      </c>
      <c r="AP13" s="2">
        <f t="shared" si="27"/>
        <v>2.64970208188856E-3</v>
      </c>
      <c r="AQ13" s="2">
        <f t="shared" si="28"/>
        <v>9.3706356058140025E-2</v>
      </c>
      <c r="AR13" s="2">
        <f t="shared" si="29"/>
        <v>0.37622188884328517</v>
      </c>
      <c r="AS13" s="2">
        <f t="shared" si="30"/>
        <v>0.29844955206136686</v>
      </c>
      <c r="AT13" s="2">
        <f t="shared" si="31"/>
        <v>0.33923348005151643</v>
      </c>
      <c r="AU13" s="2">
        <f t="shared" si="32"/>
        <v>0.54977737520698577</v>
      </c>
      <c r="AV13" s="2">
        <f t="shared" si="33"/>
        <v>1.6600741610880732</v>
      </c>
      <c r="AW13">
        <v>7243600</v>
      </c>
      <c r="AX13" s="33">
        <v>4501707000</v>
      </c>
      <c r="AY13" s="33">
        <f t="shared" si="34"/>
        <v>2138210000</v>
      </c>
      <c r="AZ13">
        <v>3235508000</v>
      </c>
      <c r="BA13">
        <v>866642000</v>
      </c>
      <c r="BB13">
        <v>314351000</v>
      </c>
      <c r="BC13">
        <v>200753000</v>
      </c>
      <c r="BD13">
        <v>206295000</v>
      </c>
      <c r="BE13">
        <v>1097298000</v>
      </c>
      <c r="BF13">
        <v>344092000</v>
      </c>
      <c r="BG13">
        <v>129876000</v>
      </c>
      <c r="BH13">
        <v>32601000</v>
      </c>
      <c r="BI13">
        <v>43601000</v>
      </c>
      <c r="BJ13">
        <v>231960000</v>
      </c>
      <c r="BK13">
        <v>57848000</v>
      </c>
      <c r="BL13">
        <v>1034238000</v>
      </c>
      <c r="BM13">
        <v>390102000</v>
      </c>
      <c r="BN13" s="1">
        <f t="shared" si="4"/>
        <v>0.71872913985739184</v>
      </c>
      <c r="BO13" s="1">
        <f t="shared" si="35"/>
        <v>0.19251408410187512</v>
      </c>
      <c r="BP13" s="1">
        <f t="shared" si="36"/>
        <v>6.9829289200740968E-2</v>
      </c>
      <c r="BQ13" s="1">
        <f t="shared" si="37"/>
        <v>4.4594861460330495E-2</v>
      </c>
      <c r="BR13" s="1">
        <f t="shared" si="38"/>
        <v>4.5825950022957959E-2</v>
      </c>
      <c r="BS13" s="1">
        <f t="shared" si="39"/>
        <v>0.24375153691699616</v>
      </c>
      <c r="BT13" s="1">
        <f t="shared" si="40"/>
        <v>7.6435894206353272E-2</v>
      </c>
      <c r="BU13" s="1">
        <f t="shared" si="41"/>
        <v>2.8850389418947079E-2</v>
      </c>
      <c r="BV13" s="1">
        <f t="shared" si="42"/>
        <v>7.241919565178276E-3</v>
      </c>
      <c r="BW13" s="1">
        <f t="shared" si="43"/>
        <v>9.6854371019704302E-3</v>
      </c>
      <c r="BX13" s="1">
        <f t="shared" si="44"/>
        <v>5.1527120712209835E-2</v>
      </c>
      <c r="BY13" s="1">
        <f t="shared" si="45"/>
        <v>1.2850236588032051E-2</v>
      </c>
      <c r="BZ13" s="1">
        <f t="shared" si="46"/>
        <v>0.22974351729244041</v>
      </c>
      <c r="CA13" s="1">
        <f t="shared" si="47"/>
        <v>8.6656461648881189E-2</v>
      </c>
      <c r="CB13" s="2">
        <f t="shared" si="48"/>
        <v>1.8183847238392012</v>
      </c>
      <c r="CC13" s="2">
        <f t="shared" si="49"/>
        <v>0.48706063277774403</v>
      </c>
      <c r="CD13" s="2">
        <f t="shared" si="50"/>
        <v>0.17666810167787464</v>
      </c>
      <c r="CE13" s="2">
        <f t="shared" si="51"/>
        <v>0.11282499949463615</v>
      </c>
      <c r="CF13" s="2">
        <f t="shared" si="52"/>
        <v>0.11593965355808362</v>
      </c>
      <c r="CG13" s="2">
        <f t="shared" si="53"/>
        <v>0.61669138840000026</v>
      </c>
      <c r="CH13" s="2">
        <f t="shared" si="54"/>
        <v>0.19338281234207377</v>
      </c>
      <c r="CI13" s="2">
        <f t="shared" si="55"/>
        <v>7.2991485229936107E-2</v>
      </c>
      <c r="CJ13" s="2">
        <f t="shared" si="56"/>
        <v>1.8322056499901037E-2</v>
      </c>
      <c r="CK13" s="2">
        <f t="shared" si="57"/>
        <v>2.4504155867985187E-2</v>
      </c>
      <c r="CL13" s="2">
        <f t="shared" si="58"/>
        <v>0.13036361540189087</v>
      </c>
      <c r="CM13" s="2">
        <f t="shared" si="59"/>
        <v>3.2511098567721088E-2</v>
      </c>
      <c r="CN13" s="2">
        <f t="shared" si="60"/>
        <v>0.58125109874987424</v>
      </c>
      <c r="CO13" s="2">
        <f t="shared" si="61"/>
        <v>0.2192408479716694</v>
      </c>
    </row>
    <row r="14" spans="1:93" x14ac:dyDescent="0.25">
      <c r="A14" s="29">
        <v>35</v>
      </c>
      <c r="B14" t="s">
        <v>12</v>
      </c>
      <c r="C14">
        <v>1983957</v>
      </c>
      <c r="D14">
        <v>3</v>
      </c>
      <c r="E14">
        <v>3.4</v>
      </c>
      <c r="F14">
        <v>600</v>
      </c>
      <c r="G14">
        <v>3500</v>
      </c>
      <c r="H14">
        <v>121800</v>
      </c>
      <c r="I14">
        <v>276000</v>
      </c>
      <c r="J14">
        <v>451200</v>
      </c>
      <c r="K14">
        <v>537800</v>
      </c>
      <c r="L14">
        <v>1390800</v>
      </c>
      <c r="M14">
        <v>400</v>
      </c>
      <c r="N14">
        <v>1700</v>
      </c>
      <c r="O14">
        <v>35100</v>
      </c>
      <c r="P14">
        <v>76100</v>
      </c>
      <c r="Q14">
        <v>136500</v>
      </c>
      <c r="R14">
        <v>359800</v>
      </c>
      <c r="S14">
        <v>609500</v>
      </c>
      <c r="T14">
        <f t="shared" si="0"/>
        <v>2000300</v>
      </c>
      <c r="U14" s="1">
        <f t="shared" si="1"/>
        <v>2.9995500674898768E-4</v>
      </c>
      <c r="V14" s="1">
        <f t="shared" si="7"/>
        <v>1.7497375393690947E-3</v>
      </c>
      <c r="W14" s="1">
        <f t="shared" si="8"/>
        <v>6.089086637004449E-2</v>
      </c>
      <c r="X14" s="1">
        <f t="shared" si="9"/>
        <v>0.13797930310453432</v>
      </c>
      <c r="Y14" s="1">
        <f t="shared" si="10"/>
        <v>0.22556616507523872</v>
      </c>
      <c r="Z14" s="1">
        <f t="shared" si="11"/>
        <v>0.26885967104934261</v>
      </c>
      <c r="AA14" s="1">
        <f t="shared" si="12"/>
        <v>0.69529570564415333</v>
      </c>
      <c r="AB14" s="1">
        <f t="shared" si="13"/>
        <v>1.9997000449932509E-4</v>
      </c>
      <c r="AC14" s="1">
        <f t="shared" si="14"/>
        <v>8.4987251912213167E-4</v>
      </c>
      <c r="AD14" s="1">
        <f t="shared" si="15"/>
        <v>1.7547367894815778E-2</v>
      </c>
      <c r="AE14" s="1">
        <f t="shared" si="16"/>
        <v>3.80442933559966E-2</v>
      </c>
      <c r="AF14" s="1">
        <f t="shared" si="17"/>
        <v>6.8239764035394695E-2</v>
      </c>
      <c r="AG14" s="1">
        <f t="shared" si="18"/>
        <v>0.17987301904714292</v>
      </c>
      <c r="AH14" s="1">
        <f t="shared" si="19"/>
        <v>0.30470429435584662</v>
      </c>
      <c r="AI14" s="2">
        <f t="shared" si="20"/>
        <v>1.019847022946558E-3</v>
      </c>
      <c r="AJ14" s="2">
        <f t="shared" si="21"/>
        <v>5.949107633854922E-3</v>
      </c>
      <c r="AK14" s="2">
        <f t="shared" si="22"/>
        <v>0.20702894565815125</v>
      </c>
      <c r="AL14" s="2">
        <f t="shared" si="23"/>
        <v>0.46912963055541668</v>
      </c>
      <c r="AM14" s="2">
        <f t="shared" si="24"/>
        <v>0.76692496125581167</v>
      </c>
      <c r="AN14" s="2">
        <f t="shared" si="25"/>
        <v>0.91412288156776489</v>
      </c>
      <c r="AO14" s="2">
        <f t="shared" si="26"/>
        <v>2.3640053991901211</v>
      </c>
      <c r="AP14" s="2">
        <f t="shared" si="27"/>
        <v>6.7989801529770534E-4</v>
      </c>
      <c r="AQ14" s="2">
        <f t="shared" si="28"/>
        <v>2.8895665650152478E-3</v>
      </c>
      <c r="AR14" s="2">
        <f t="shared" si="29"/>
        <v>5.9661050842373643E-2</v>
      </c>
      <c r="AS14" s="2">
        <f t="shared" si="30"/>
        <v>0.12935059741038843</v>
      </c>
      <c r="AT14" s="2">
        <f t="shared" si="31"/>
        <v>0.23201519772034196</v>
      </c>
      <c r="AU14" s="2">
        <f t="shared" si="32"/>
        <v>0.61156826476028592</v>
      </c>
      <c r="AV14" s="2">
        <f t="shared" si="33"/>
        <v>1.0359946008098784</v>
      </c>
      <c r="AW14">
        <v>3000000</v>
      </c>
      <c r="AX14" s="33">
        <v>2532331000</v>
      </c>
      <c r="AY14" s="33">
        <f t="shared" si="34"/>
        <v>908042000</v>
      </c>
      <c r="AZ14">
        <v>1330472000</v>
      </c>
      <c r="BA14">
        <v>406417000</v>
      </c>
      <c r="BB14">
        <v>103036000</v>
      </c>
      <c r="BC14">
        <v>121544000</v>
      </c>
      <c r="BD14">
        <v>71965000</v>
      </c>
      <c r="BE14">
        <v>422430000</v>
      </c>
      <c r="BF14">
        <v>109312000</v>
      </c>
      <c r="BG14">
        <v>57997000</v>
      </c>
      <c r="BH14">
        <v>29293000</v>
      </c>
      <c r="BI14">
        <v>8479000</v>
      </c>
      <c r="BJ14">
        <v>136984000</v>
      </c>
      <c r="BK14">
        <v>14895000</v>
      </c>
      <c r="BL14">
        <v>1064874000</v>
      </c>
      <c r="BM14">
        <v>671766000</v>
      </c>
      <c r="BN14" s="1">
        <f t="shared" si="4"/>
        <v>0.52539419214944649</v>
      </c>
      <c r="BO14" s="1">
        <f t="shared" si="35"/>
        <v>0.16049126279305509</v>
      </c>
      <c r="BP14" s="1">
        <f t="shared" si="36"/>
        <v>4.0688203872242611E-2</v>
      </c>
      <c r="BQ14" s="1">
        <f t="shared" si="37"/>
        <v>4.7996885083348109E-2</v>
      </c>
      <c r="BR14" s="1">
        <f t="shared" si="38"/>
        <v>2.8418480838405407E-2</v>
      </c>
      <c r="BS14" s="1">
        <f t="shared" si="39"/>
        <v>0.16681468575790448</v>
      </c>
      <c r="BT14" s="1">
        <f t="shared" si="40"/>
        <v>4.3166552871642769E-2</v>
      </c>
      <c r="BU14" s="1">
        <f t="shared" si="41"/>
        <v>2.2902614231709837E-2</v>
      </c>
      <c r="BV14" s="1">
        <f t="shared" si="42"/>
        <v>1.156760312929076E-2</v>
      </c>
      <c r="BW14" s="1">
        <f t="shared" si="43"/>
        <v>3.3482984649321119E-3</v>
      </c>
      <c r="BX14" s="1">
        <f t="shared" si="44"/>
        <v>5.4094034310680557E-2</v>
      </c>
      <c r="BY14" s="1">
        <f t="shared" si="45"/>
        <v>5.8819324961863198E-3</v>
      </c>
      <c r="BZ14" s="1">
        <f t="shared" si="46"/>
        <v>0.42051137864678828</v>
      </c>
      <c r="CA14" s="1">
        <f t="shared" si="47"/>
        <v>0.26527574791763003</v>
      </c>
      <c r="CB14" s="2">
        <f t="shared" si="48"/>
        <v>1.7863402533081181</v>
      </c>
      <c r="CC14" s="2">
        <f t="shared" si="49"/>
        <v>0.54567029349638729</v>
      </c>
      <c r="CD14" s="2">
        <f t="shared" si="50"/>
        <v>0.13833989316562487</v>
      </c>
      <c r="CE14" s="2">
        <f t="shared" si="51"/>
        <v>0.16318940928338357</v>
      </c>
      <c r="CF14" s="2">
        <f t="shared" si="52"/>
        <v>9.6622834850578376E-2</v>
      </c>
      <c r="CG14" s="2">
        <f t="shared" si="53"/>
        <v>0.56716993157687523</v>
      </c>
      <c r="CH14" s="2">
        <f t="shared" si="54"/>
        <v>0.14676627976358542</v>
      </c>
      <c r="CI14" s="2">
        <f t="shared" si="55"/>
        <v>7.7868888387813445E-2</v>
      </c>
      <c r="CJ14" s="2">
        <f t="shared" si="56"/>
        <v>3.9329850639588583E-2</v>
      </c>
      <c r="CK14" s="2">
        <f t="shared" si="57"/>
        <v>1.138421478076918E-2</v>
      </c>
      <c r="CL14" s="2">
        <f t="shared" si="58"/>
        <v>0.18391971665631388</v>
      </c>
      <c r="CM14" s="2">
        <f t="shared" si="59"/>
        <v>1.9998570487033487E-2</v>
      </c>
      <c r="CN14" s="2">
        <f t="shared" si="60"/>
        <v>1.4297386873990801</v>
      </c>
      <c r="CO14" s="2">
        <f t="shared" si="61"/>
        <v>0.9019375429199421</v>
      </c>
    </row>
    <row r="15" spans="1:93" x14ac:dyDescent="0.25">
      <c r="A15" s="29">
        <v>45</v>
      </c>
      <c r="B15" t="s">
        <v>13</v>
      </c>
      <c r="C15">
        <v>54566</v>
      </c>
      <c r="D15">
        <v>8.2000000000000003E-2</v>
      </c>
      <c r="E15">
        <v>3.3</v>
      </c>
      <c r="F15">
        <v>100</v>
      </c>
      <c r="G15">
        <v>1400</v>
      </c>
      <c r="H15">
        <v>7500</v>
      </c>
      <c r="I15">
        <v>10000</v>
      </c>
      <c r="J15">
        <v>18500</v>
      </c>
      <c r="K15">
        <v>28800</v>
      </c>
      <c r="L15">
        <v>66400</v>
      </c>
      <c r="M15">
        <v>100</v>
      </c>
      <c r="N15">
        <v>1100</v>
      </c>
      <c r="O15">
        <v>5100</v>
      </c>
      <c r="P15">
        <v>6300</v>
      </c>
      <c r="Q15">
        <v>10700</v>
      </c>
      <c r="R15">
        <v>18400</v>
      </c>
      <c r="S15">
        <v>41600</v>
      </c>
      <c r="T15">
        <f t="shared" si="0"/>
        <v>108000</v>
      </c>
      <c r="U15" s="1">
        <f t="shared" si="1"/>
        <v>9.2592592592592596E-4</v>
      </c>
      <c r="V15" s="1">
        <f t="shared" si="7"/>
        <v>1.2962962962962963E-2</v>
      </c>
      <c r="W15" s="1">
        <f t="shared" si="8"/>
        <v>6.9444444444444448E-2</v>
      </c>
      <c r="X15" s="1">
        <f t="shared" si="9"/>
        <v>9.2592592592592587E-2</v>
      </c>
      <c r="Y15" s="1">
        <f t="shared" si="10"/>
        <v>0.17129629629629631</v>
      </c>
      <c r="Z15" s="1">
        <f t="shared" si="11"/>
        <v>0.26666666666666666</v>
      </c>
      <c r="AA15" s="1">
        <f t="shared" si="12"/>
        <v>0.61481481481481481</v>
      </c>
      <c r="AB15" s="1">
        <f t="shared" si="13"/>
        <v>9.2592592592592596E-4</v>
      </c>
      <c r="AC15" s="1">
        <f t="shared" si="14"/>
        <v>1.0185185185185186E-2</v>
      </c>
      <c r="AD15" s="1">
        <f t="shared" si="15"/>
        <v>4.7222222222222221E-2</v>
      </c>
      <c r="AE15" s="1">
        <f t="shared" si="16"/>
        <v>5.8333333333333334E-2</v>
      </c>
      <c r="AF15" s="1">
        <f t="shared" si="17"/>
        <v>9.9074074074074078E-2</v>
      </c>
      <c r="AG15" s="1">
        <f t="shared" si="18"/>
        <v>0.17037037037037037</v>
      </c>
      <c r="AH15" s="1">
        <f t="shared" si="19"/>
        <v>0.38518518518518519</v>
      </c>
      <c r="AI15" s="2">
        <f t="shared" si="20"/>
        <v>3.0555555555555557E-3</v>
      </c>
      <c r="AJ15" s="2">
        <f t="shared" si="21"/>
        <v>4.2777777777777776E-2</v>
      </c>
      <c r="AK15" s="2">
        <f t="shared" si="22"/>
        <v>0.22916666666666666</v>
      </c>
      <c r="AL15" s="2">
        <f t="shared" si="23"/>
        <v>0.30555555555555552</v>
      </c>
      <c r="AM15" s="2">
        <f t="shared" si="24"/>
        <v>0.56527777777777777</v>
      </c>
      <c r="AN15" s="2">
        <f t="shared" si="25"/>
        <v>0.87999999999999989</v>
      </c>
      <c r="AO15" s="2">
        <f t="shared" si="26"/>
        <v>2.028888888888889</v>
      </c>
      <c r="AP15" s="2">
        <f t="shared" si="27"/>
        <v>3.0555555555555557E-3</v>
      </c>
      <c r="AQ15" s="2">
        <f t="shared" si="28"/>
        <v>3.3611111111111112E-2</v>
      </c>
      <c r="AR15" s="2">
        <f t="shared" si="29"/>
        <v>0.15583333333333332</v>
      </c>
      <c r="AS15" s="2">
        <f t="shared" si="30"/>
        <v>0.1925</v>
      </c>
      <c r="AT15" s="2">
        <f t="shared" si="31"/>
        <v>0.32694444444444443</v>
      </c>
      <c r="AU15" s="2">
        <f t="shared" si="32"/>
        <v>0.56222222222222218</v>
      </c>
      <c r="AV15" s="2">
        <f t="shared" si="33"/>
        <v>1.2711111111111111</v>
      </c>
      <c r="AW15">
        <v>1897800</v>
      </c>
      <c r="AX15" s="33">
        <v>2949232000</v>
      </c>
      <c r="AY15" s="33">
        <f t="shared" si="34"/>
        <v>866171000</v>
      </c>
      <c r="AZ15">
        <v>1373783000</v>
      </c>
      <c r="BA15">
        <v>254623000</v>
      </c>
      <c r="BB15">
        <v>243457000</v>
      </c>
      <c r="BC15">
        <v>62635000</v>
      </c>
      <c r="BD15">
        <v>30972000</v>
      </c>
      <c r="BE15">
        <v>507612000</v>
      </c>
      <c r="BF15">
        <v>135240000</v>
      </c>
      <c r="BG15">
        <v>65189000</v>
      </c>
      <c r="BH15">
        <v>67904000</v>
      </c>
      <c r="BI15">
        <v>6152000</v>
      </c>
      <c r="BJ15">
        <v>1408679000</v>
      </c>
      <c r="BK15">
        <v>1242526000</v>
      </c>
      <c r="BL15">
        <v>166770000</v>
      </c>
      <c r="BM15">
        <v>50653000</v>
      </c>
      <c r="BN15" s="1">
        <f t="shared" si="4"/>
        <v>0.46581042115371052</v>
      </c>
      <c r="BO15" s="1">
        <f t="shared" si="35"/>
        <v>8.6335357815187141E-2</v>
      </c>
      <c r="BP15" s="1">
        <f t="shared" si="36"/>
        <v>8.2549287407704786E-2</v>
      </c>
      <c r="BQ15" s="1">
        <f t="shared" si="37"/>
        <v>2.1237732399485697E-2</v>
      </c>
      <c r="BR15" s="1">
        <f t="shared" si="38"/>
        <v>1.0501717057186413E-2</v>
      </c>
      <c r="BS15" s="1">
        <f t="shared" si="39"/>
        <v>0.17211667308641707</v>
      </c>
      <c r="BT15" s="1">
        <f t="shared" si="40"/>
        <v>4.5856005902553613E-2</v>
      </c>
      <c r="BU15" s="1">
        <f t="shared" si="41"/>
        <v>2.2103720561827623E-2</v>
      </c>
      <c r="BV15" s="1">
        <f t="shared" si="42"/>
        <v>2.3024299207386873E-2</v>
      </c>
      <c r="BW15" s="1">
        <f t="shared" si="43"/>
        <v>2.0859667872856393E-3</v>
      </c>
      <c r="BX15" s="1">
        <f t="shared" si="44"/>
        <v>0.47764265408757262</v>
      </c>
      <c r="BY15" s="1">
        <f t="shared" si="45"/>
        <v>0.42130493633596816</v>
      </c>
      <c r="BZ15" s="1">
        <f t="shared" si="46"/>
        <v>5.6546924758716845E-2</v>
      </c>
      <c r="CA15" s="1">
        <f t="shared" si="47"/>
        <v>1.717497979134907E-2</v>
      </c>
      <c r="CB15" s="2">
        <f t="shared" si="48"/>
        <v>1.5371743898072445</v>
      </c>
      <c r="CC15" s="2">
        <f t="shared" si="49"/>
        <v>0.28490668079011755</v>
      </c>
      <c r="CD15" s="2">
        <f t="shared" si="50"/>
        <v>0.27241264844542579</v>
      </c>
      <c r="CE15" s="2">
        <f t="shared" si="51"/>
        <v>7.0084516918302794E-2</v>
      </c>
      <c r="CF15" s="2">
        <f t="shared" si="52"/>
        <v>3.4655666288715158E-2</v>
      </c>
      <c r="CG15" s="2">
        <f t="shared" si="53"/>
        <v>0.56798502118517624</v>
      </c>
      <c r="CH15" s="2">
        <f t="shared" si="54"/>
        <v>0.15132481947842691</v>
      </c>
      <c r="CI15" s="2">
        <f t="shared" si="55"/>
        <v>7.2942277854031151E-2</v>
      </c>
      <c r="CJ15" s="2">
        <f t="shared" si="56"/>
        <v>7.5980187384376674E-2</v>
      </c>
      <c r="CK15" s="2">
        <f t="shared" si="57"/>
        <v>6.8836903980426098E-3</v>
      </c>
      <c r="CL15" s="2">
        <f t="shared" si="58"/>
        <v>1.5762207584889896</v>
      </c>
      <c r="CM15" s="2">
        <f t="shared" si="59"/>
        <v>1.3903062899086949</v>
      </c>
      <c r="CN15" s="2">
        <f t="shared" si="60"/>
        <v>0.18660485170376559</v>
      </c>
      <c r="CO15" s="2">
        <f t="shared" si="61"/>
        <v>5.6677433311451926E-2</v>
      </c>
    </row>
    <row r="16" spans="1:93" x14ac:dyDescent="0.25">
      <c r="A16" s="29">
        <v>39</v>
      </c>
      <c r="B16" t="s">
        <v>14</v>
      </c>
      <c r="C16">
        <v>662875</v>
      </c>
      <c r="D16">
        <v>1</v>
      </c>
      <c r="E16">
        <v>1.5</v>
      </c>
      <c r="F16">
        <v>1400</v>
      </c>
      <c r="G16">
        <v>2300</v>
      </c>
      <c r="H16">
        <v>20000</v>
      </c>
      <c r="I16">
        <v>40400</v>
      </c>
      <c r="J16">
        <v>78700</v>
      </c>
      <c r="K16">
        <v>185300</v>
      </c>
      <c r="L16">
        <v>328100</v>
      </c>
      <c r="M16">
        <v>1300</v>
      </c>
      <c r="N16">
        <v>1700</v>
      </c>
      <c r="O16">
        <v>9700</v>
      </c>
      <c r="P16">
        <v>17900</v>
      </c>
      <c r="Q16">
        <v>42300</v>
      </c>
      <c r="R16">
        <v>252600</v>
      </c>
      <c r="S16">
        <v>325600</v>
      </c>
      <c r="T16">
        <f t="shared" si="0"/>
        <v>653700</v>
      </c>
      <c r="U16" s="1">
        <f t="shared" si="1"/>
        <v>2.1416551935138444E-3</v>
      </c>
      <c r="V16" s="1">
        <f t="shared" si="7"/>
        <v>3.5184335322013156E-3</v>
      </c>
      <c r="W16" s="1">
        <f t="shared" si="8"/>
        <v>3.0595074193054919E-2</v>
      </c>
      <c r="X16" s="1">
        <f t="shared" si="9"/>
        <v>6.1802049869970933E-2</v>
      </c>
      <c r="Y16" s="1">
        <f t="shared" si="10"/>
        <v>0.1203916169496711</v>
      </c>
      <c r="Z16" s="1">
        <f t="shared" si="11"/>
        <v>0.28346336239865383</v>
      </c>
      <c r="AA16" s="1">
        <f t="shared" si="12"/>
        <v>0.50191219213706595</v>
      </c>
      <c r="AB16" s="1">
        <f t="shared" si="13"/>
        <v>1.9886798225485698E-3</v>
      </c>
      <c r="AC16" s="1">
        <f t="shared" si="14"/>
        <v>2.6005813064096679E-3</v>
      </c>
      <c r="AD16" s="1">
        <f t="shared" si="15"/>
        <v>1.4838610983631635E-2</v>
      </c>
      <c r="AE16" s="1">
        <f t="shared" si="16"/>
        <v>2.7382591402784151E-2</v>
      </c>
      <c r="AF16" s="1">
        <f t="shared" si="17"/>
        <v>6.470858191831115E-2</v>
      </c>
      <c r="AG16" s="1">
        <f t="shared" si="18"/>
        <v>0.38641578705828361</v>
      </c>
      <c r="AH16" s="1">
        <f t="shared" si="19"/>
        <v>0.49808780786293405</v>
      </c>
      <c r="AI16" s="2">
        <f t="shared" si="20"/>
        <v>3.2124827902707664E-3</v>
      </c>
      <c r="AJ16" s="2">
        <f t="shared" si="21"/>
        <v>5.2776502983019734E-3</v>
      </c>
      <c r="AK16" s="2">
        <f t="shared" si="22"/>
        <v>4.5892611289582379E-2</v>
      </c>
      <c r="AL16" s="2">
        <f t="shared" si="23"/>
        <v>9.2703074804956404E-2</v>
      </c>
      <c r="AM16" s="2">
        <f t="shared" si="24"/>
        <v>0.18058742542450665</v>
      </c>
      <c r="AN16" s="2">
        <f t="shared" si="25"/>
        <v>0.42519504359798077</v>
      </c>
      <c r="AO16" s="2">
        <f t="shared" si="26"/>
        <v>0.75286828820559892</v>
      </c>
      <c r="AP16" s="2">
        <f t="shared" si="27"/>
        <v>2.9830197338228549E-3</v>
      </c>
      <c r="AQ16" s="2">
        <f t="shared" si="28"/>
        <v>3.9008719596145018E-3</v>
      </c>
      <c r="AR16" s="2">
        <f t="shared" si="29"/>
        <v>2.2257916475447451E-2</v>
      </c>
      <c r="AS16" s="2">
        <f t="shared" si="30"/>
        <v>4.1073887104176227E-2</v>
      </c>
      <c r="AT16" s="2">
        <f t="shared" si="31"/>
        <v>9.7062872877466733E-2</v>
      </c>
      <c r="AU16" s="2">
        <f t="shared" si="32"/>
        <v>0.57962368058742542</v>
      </c>
      <c r="AV16" s="2">
        <f t="shared" si="33"/>
        <v>0.74713171179440108</v>
      </c>
      <c r="AW16">
        <v>2000400</v>
      </c>
      <c r="AX16" s="33">
        <v>3510686000</v>
      </c>
      <c r="AY16" s="33">
        <f t="shared" si="34"/>
        <v>1079597000</v>
      </c>
      <c r="AZ16">
        <v>1904907000</v>
      </c>
      <c r="BA16">
        <v>417688000</v>
      </c>
      <c r="BB16">
        <v>222480000</v>
      </c>
      <c r="BC16">
        <v>63451000</v>
      </c>
      <c r="BD16">
        <v>50168000</v>
      </c>
      <c r="BE16">
        <v>825310000</v>
      </c>
      <c r="BF16">
        <v>169822000</v>
      </c>
      <c r="BG16">
        <v>78113000</v>
      </c>
      <c r="BH16">
        <v>66799000</v>
      </c>
      <c r="BI16">
        <v>11077000</v>
      </c>
      <c r="BJ16">
        <v>1101788000</v>
      </c>
      <c r="BK16">
        <v>861461000</v>
      </c>
      <c r="BL16">
        <v>503991000</v>
      </c>
      <c r="BM16">
        <v>100478000</v>
      </c>
      <c r="BN16" s="1">
        <f t="shared" si="4"/>
        <v>0.54260249991027398</v>
      </c>
      <c r="BO16" s="1">
        <f t="shared" si="35"/>
        <v>0.11897617730551807</v>
      </c>
      <c r="BP16" s="1">
        <f t="shared" si="36"/>
        <v>6.3372229814913666E-2</v>
      </c>
      <c r="BQ16" s="1">
        <f t="shared" si="37"/>
        <v>1.807367562920751E-2</v>
      </c>
      <c r="BR16" s="1">
        <f t="shared" si="38"/>
        <v>1.4290084615941157E-2</v>
      </c>
      <c r="BS16" s="1">
        <f t="shared" si="39"/>
        <v>0.23508510872234087</v>
      </c>
      <c r="BT16" s="1">
        <f t="shared" si="40"/>
        <v>4.8372882109080674E-2</v>
      </c>
      <c r="BU16" s="1">
        <f t="shared" si="41"/>
        <v>2.225006736575131E-2</v>
      </c>
      <c r="BV16" s="1">
        <f t="shared" si="42"/>
        <v>1.9027335398266891E-2</v>
      </c>
      <c r="BW16" s="1">
        <f t="shared" si="43"/>
        <v>3.1552237938682068E-3</v>
      </c>
      <c r="BX16" s="1">
        <f t="shared" si="44"/>
        <v>0.3138383780264028</v>
      </c>
      <c r="BY16" s="1">
        <f t="shared" si="45"/>
        <v>0.24538252637803551</v>
      </c>
      <c r="BZ16" s="1">
        <f t="shared" si="46"/>
        <v>0.14355912206332325</v>
      </c>
      <c r="CA16" s="1">
        <f t="shared" si="47"/>
        <v>2.8620617167129159E-2</v>
      </c>
      <c r="CB16" s="2">
        <f t="shared" si="48"/>
        <v>0.81390374986541092</v>
      </c>
      <c r="CC16" s="2">
        <f t="shared" si="49"/>
        <v>0.17846426595827711</v>
      </c>
      <c r="CD16" s="2">
        <f t="shared" si="50"/>
        <v>9.50583447223705E-2</v>
      </c>
      <c r="CE16" s="2">
        <f t="shared" si="51"/>
        <v>2.7110513443811265E-2</v>
      </c>
      <c r="CF16" s="2">
        <f t="shared" si="52"/>
        <v>2.1435126923911738E-2</v>
      </c>
      <c r="CG16" s="2">
        <f t="shared" si="53"/>
        <v>0.35262766308351129</v>
      </c>
      <c r="CH16" s="2">
        <f t="shared" si="54"/>
        <v>7.2559323163621015E-2</v>
      </c>
      <c r="CI16" s="2">
        <f t="shared" si="55"/>
        <v>3.3375101048626968E-2</v>
      </c>
      <c r="CJ16" s="2">
        <f t="shared" si="56"/>
        <v>2.8541003097400337E-2</v>
      </c>
      <c r="CK16" s="2">
        <f t="shared" si="57"/>
        <v>4.7328356908023107E-3</v>
      </c>
      <c r="CL16" s="2">
        <f t="shared" si="58"/>
        <v>0.4707575670396042</v>
      </c>
      <c r="CM16" s="2">
        <f t="shared" si="59"/>
        <v>0.36807378956705328</v>
      </c>
      <c r="CN16" s="2">
        <f t="shared" si="60"/>
        <v>0.21533868309498488</v>
      </c>
      <c r="CO16" s="2">
        <f t="shared" si="61"/>
        <v>4.2930925750693738E-2</v>
      </c>
    </row>
    <row r="17" spans="1:93" x14ac:dyDescent="0.25">
      <c r="A17" s="29">
        <v>44</v>
      </c>
      <c r="B17" t="s">
        <v>203</v>
      </c>
      <c r="C17">
        <v>3656804</v>
      </c>
      <c r="D17">
        <v>5.5</v>
      </c>
      <c r="E17">
        <v>3.49</v>
      </c>
      <c r="F17">
        <v>374600</v>
      </c>
      <c r="G17">
        <v>165800</v>
      </c>
      <c r="H17">
        <v>294700</v>
      </c>
      <c r="I17">
        <v>274100</v>
      </c>
      <c r="J17">
        <v>347200</v>
      </c>
      <c r="K17">
        <v>365200</v>
      </c>
      <c r="L17">
        <v>1821700</v>
      </c>
      <c r="M17">
        <v>236300</v>
      </c>
      <c r="N17">
        <v>200600</v>
      </c>
      <c r="O17">
        <v>372100</v>
      </c>
      <c r="P17">
        <v>299200</v>
      </c>
      <c r="Q17">
        <v>324600</v>
      </c>
      <c r="R17">
        <v>415100</v>
      </c>
      <c r="S17">
        <v>1847800</v>
      </c>
      <c r="T17">
        <f t="shared" si="0"/>
        <v>3669500</v>
      </c>
      <c r="U17" s="1">
        <f t="shared" si="1"/>
        <v>0.10208475269110233</v>
      </c>
      <c r="V17" s="1">
        <f t="shared" si="7"/>
        <v>4.5183267475132849E-2</v>
      </c>
      <c r="W17" s="1">
        <f t="shared" si="8"/>
        <v>8.0310669028477999E-2</v>
      </c>
      <c r="X17" s="1">
        <f t="shared" si="9"/>
        <v>7.4696825180542312E-2</v>
      </c>
      <c r="Y17" s="1">
        <f t="shared" si="10"/>
        <v>9.4617795339964575E-2</v>
      </c>
      <c r="Z17" s="1">
        <f t="shared" si="11"/>
        <v>9.9523095789617114E-2</v>
      </c>
      <c r="AA17" s="1">
        <f t="shared" si="12"/>
        <v>0.49644365717400191</v>
      </c>
      <c r="AB17" s="1">
        <f t="shared" si="13"/>
        <v>6.4395694236271978E-2</v>
      </c>
      <c r="AC17" s="1">
        <f t="shared" si="14"/>
        <v>5.4666848344461096E-2</v>
      </c>
      <c r="AD17" s="1">
        <f t="shared" si="15"/>
        <v>0.10140346096198392</v>
      </c>
      <c r="AE17" s="1">
        <f t="shared" si="16"/>
        <v>8.1536994140891134E-2</v>
      </c>
      <c r="AF17" s="1">
        <f t="shared" si="17"/>
        <v>8.8458918108734158E-2</v>
      </c>
      <c r="AG17" s="1">
        <f t="shared" si="18"/>
        <v>0.11312167870282054</v>
      </c>
      <c r="AH17" s="1">
        <f t="shared" si="19"/>
        <v>0.50355634282599804</v>
      </c>
      <c r="AI17" s="2">
        <f t="shared" si="20"/>
        <v>0.35627578689194717</v>
      </c>
      <c r="AJ17" s="2">
        <f t="shared" si="21"/>
        <v>0.15768960348821365</v>
      </c>
      <c r="AK17" s="2">
        <f t="shared" si="22"/>
        <v>0.28028423490938825</v>
      </c>
      <c r="AL17" s="2">
        <f t="shared" si="23"/>
        <v>0.26069191988009266</v>
      </c>
      <c r="AM17" s="2">
        <f t="shared" si="24"/>
        <v>0.33021610573647636</v>
      </c>
      <c r="AN17" s="2">
        <f t="shared" si="25"/>
        <v>0.34733560430576377</v>
      </c>
      <c r="AO17" s="2">
        <f t="shared" si="26"/>
        <v>1.7325883635372668</v>
      </c>
      <c r="AP17" s="2">
        <f t="shared" si="27"/>
        <v>0.22474097288458922</v>
      </c>
      <c r="AQ17" s="2">
        <f t="shared" si="28"/>
        <v>0.19078730072216923</v>
      </c>
      <c r="AR17" s="2">
        <f t="shared" si="29"/>
        <v>0.35389807875732393</v>
      </c>
      <c r="AS17" s="2">
        <f t="shared" si="30"/>
        <v>0.28456410955171008</v>
      </c>
      <c r="AT17" s="2">
        <f t="shared" si="31"/>
        <v>0.30872162419948224</v>
      </c>
      <c r="AU17" s="2">
        <f t="shared" si="32"/>
        <v>0.39479465867284369</v>
      </c>
      <c r="AV17" s="2">
        <f t="shared" si="33"/>
        <v>1.7574116364627332</v>
      </c>
      <c r="AW17">
        <v>54100</v>
      </c>
      <c r="AX17" s="33">
        <v>3280938000</v>
      </c>
      <c r="AY17" s="33">
        <f t="shared" si="34"/>
        <v>800436000</v>
      </c>
      <c r="AZ17">
        <v>900056000</v>
      </c>
      <c r="BA17">
        <v>11586000</v>
      </c>
      <c r="BB17">
        <v>66782000</v>
      </c>
      <c r="BC17">
        <v>3667000</v>
      </c>
      <c r="BD17">
        <v>497000</v>
      </c>
      <c r="BE17">
        <v>99620000</v>
      </c>
      <c r="BF17">
        <v>21678000</v>
      </c>
      <c r="BG17">
        <v>16410000</v>
      </c>
      <c r="BH17">
        <v>679806000</v>
      </c>
      <c r="BI17">
        <v>11000</v>
      </c>
      <c r="BJ17">
        <v>2357700000</v>
      </c>
      <c r="BK17">
        <v>2326350000</v>
      </c>
      <c r="BL17">
        <v>23182000</v>
      </c>
      <c r="BM17">
        <v>4188000</v>
      </c>
      <c r="BN17" s="1">
        <f t="shared" si="4"/>
        <v>0.27432886570852605</v>
      </c>
      <c r="BO17" s="1">
        <f t="shared" si="35"/>
        <v>3.5313072054394203E-3</v>
      </c>
      <c r="BP17" s="1">
        <f t="shared" si="36"/>
        <v>2.0354544950255078E-2</v>
      </c>
      <c r="BQ17" s="1">
        <f t="shared" si="37"/>
        <v>1.1176681790390432E-3</v>
      </c>
      <c r="BR17" s="1">
        <f t="shared" si="38"/>
        <v>1.5148107035244188E-4</v>
      </c>
      <c r="BS17" s="1">
        <f t="shared" si="39"/>
        <v>3.0363268065413E-2</v>
      </c>
      <c r="BT17" s="1">
        <f t="shared" si="40"/>
        <v>6.6072568271634512E-3</v>
      </c>
      <c r="BU17" s="1">
        <f t="shared" si="41"/>
        <v>5.0016184396047712E-3</v>
      </c>
      <c r="BV17" s="1">
        <f t="shared" si="42"/>
        <v>0.20719867306239861</v>
      </c>
      <c r="BW17" s="1">
        <f t="shared" si="43"/>
        <v>3.3526997462311081E-6</v>
      </c>
      <c r="BX17" s="1">
        <f t="shared" si="44"/>
        <v>0.71860547197173497</v>
      </c>
      <c r="BY17" s="1">
        <f t="shared" si="45"/>
        <v>0.70905027769497631</v>
      </c>
      <c r="BZ17" s="1">
        <f t="shared" si="46"/>
        <v>7.0656623197390498E-3</v>
      </c>
      <c r="CA17" s="1">
        <f t="shared" si="47"/>
        <v>1.2764642306559893E-3</v>
      </c>
      <c r="CB17" s="2">
        <f t="shared" si="48"/>
        <v>0.95740774132275597</v>
      </c>
      <c r="CC17" s="2">
        <f t="shared" si="49"/>
        <v>1.2324262146983577E-2</v>
      </c>
      <c r="CD17" s="2">
        <f t="shared" si="50"/>
        <v>7.1037361876390231E-2</v>
      </c>
      <c r="CE17" s="2">
        <f t="shared" si="51"/>
        <v>3.9006619448462608E-3</v>
      </c>
      <c r="CF17" s="2">
        <f t="shared" si="52"/>
        <v>5.286689355300222E-4</v>
      </c>
      <c r="CG17" s="2">
        <f t="shared" si="53"/>
        <v>0.10596780554829138</v>
      </c>
      <c r="CH17" s="2">
        <f t="shared" si="54"/>
        <v>2.3059326326800446E-2</v>
      </c>
      <c r="CI17" s="2">
        <f t="shared" si="55"/>
        <v>1.7455648354220654E-2</v>
      </c>
      <c r="CJ17" s="2">
        <f t="shared" si="56"/>
        <v>0.72312336898777119</v>
      </c>
      <c r="CK17" s="2">
        <f t="shared" si="57"/>
        <v>1.1700922114346568E-5</v>
      </c>
      <c r="CL17" s="2">
        <f t="shared" si="58"/>
        <v>2.5079330971813554</v>
      </c>
      <c r="CM17" s="2">
        <f t="shared" si="59"/>
        <v>2.4745854691554676</v>
      </c>
      <c r="CN17" s="2">
        <f t="shared" si="60"/>
        <v>2.4659161495889287E-2</v>
      </c>
      <c r="CO17" s="2">
        <f t="shared" si="61"/>
        <v>4.4548601649894029E-3</v>
      </c>
    </row>
    <row r="18" spans="1:93" x14ac:dyDescent="0.25">
      <c r="A18" s="29">
        <v>15</v>
      </c>
      <c r="B18" t="s">
        <v>15</v>
      </c>
      <c r="C18">
        <v>8796</v>
      </c>
      <c r="D18">
        <v>1.2999999999999999E-2</v>
      </c>
      <c r="E18">
        <v>0.32</v>
      </c>
      <c r="F18">
        <v>1300</v>
      </c>
      <c r="G18">
        <v>1900</v>
      </c>
      <c r="H18">
        <v>900</v>
      </c>
      <c r="I18">
        <v>200</v>
      </c>
      <c r="J18">
        <v>200</v>
      </c>
      <c r="K18">
        <v>100</v>
      </c>
      <c r="L18">
        <v>4600</v>
      </c>
      <c r="M18">
        <v>1300</v>
      </c>
      <c r="N18">
        <v>1700</v>
      </c>
      <c r="O18">
        <v>800</v>
      </c>
      <c r="P18">
        <v>200</v>
      </c>
      <c r="Q18">
        <v>100</v>
      </c>
      <c r="R18">
        <v>200</v>
      </c>
      <c r="S18">
        <v>4200</v>
      </c>
      <c r="T18">
        <f t="shared" si="0"/>
        <v>8800</v>
      </c>
      <c r="U18" s="1">
        <f t="shared" si="1"/>
        <v>0.14772727272727273</v>
      </c>
      <c r="V18" s="1">
        <f t="shared" si="7"/>
        <v>0.21590909090909091</v>
      </c>
      <c r="W18" s="1">
        <f t="shared" si="8"/>
        <v>0.10227272727272728</v>
      </c>
      <c r="X18" s="1">
        <f t="shared" si="9"/>
        <v>2.2727272727272728E-2</v>
      </c>
      <c r="Y18" s="1">
        <f t="shared" si="10"/>
        <v>2.2727272727272728E-2</v>
      </c>
      <c r="Z18" s="1">
        <f t="shared" si="11"/>
        <v>1.1363636363636364E-2</v>
      </c>
      <c r="AA18" s="1">
        <f t="shared" si="12"/>
        <v>0.52272727272727271</v>
      </c>
      <c r="AB18" s="1">
        <f t="shared" si="13"/>
        <v>0.14772727272727273</v>
      </c>
      <c r="AC18" s="1">
        <f t="shared" si="14"/>
        <v>0.19318181818181818</v>
      </c>
      <c r="AD18" s="1">
        <f t="shared" si="15"/>
        <v>9.0909090909090912E-2</v>
      </c>
      <c r="AE18" s="1">
        <f t="shared" si="16"/>
        <v>2.2727272727272728E-2</v>
      </c>
      <c r="AF18" s="1">
        <f t="shared" si="17"/>
        <v>1.1363636363636364E-2</v>
      </c>
      <c r="AG18" s="1">
        <f t="shared" si="18"/>
        <v>2.2727272727272728E-2</v>
      </c>
      <c r="AH18" s="1">
        <f t="shared" si="19"/>
        <v>0.47727272727272729</v>
      </c>
      <c r="AI18" s="2">
        <f t="shared" si="20"/>
        <v>4.7272727272727279E-2</v>
      </c>
      <c r="AJ18" s="2">
        <f t="shared" si="21"/>
        <v>6.9090909090909092E-2</v>
      </c>
      <c r="AK18" s="2">
        <f t="shared" si="22"/>
        <v>3.272727272727273E-2</v>
      </c>
      <c r="AL18" s="2">
        <f t="shared" si="23"/>
        <v>7.2727272727272727E-3</v>
      </c>
      <c r="AM18" s="2">
        <f t="shared" si="24"/>
        <v>7.2727272727272727E-3</v>
      </c>
      <c r="AN18" s="2">
        <f t="shared" si="25"/>
        <v>3.6363636363636364E-3</v>
      </c>
      <c r="AO18" s="2">
        <f t="shared" si="26"/>
        <v>0.16727272727272727</v>
      </c>
      <c r="AP18" s="2">
        <f t="shared" si="27"/>
        <v>4.7272727272727279E-2</v>
      </c>
      <c r="AQ18" s="2">
        <f t="shared" si="28"/>
        <v>6.1818181818181821E-2</v>
      </c>
      <c r="AR18" s="2">
        <f t="shared" si="29"/>
        <v>2.9090909090909091E-2</v>
      </c>
      <c r="AS18" s="2">
        <f t="shared" si="30"/>
        <v>7.2727272727272727E-3</v>
      </c>
      <c r="AT18" s="2">
        <f t="shared" si="31"/>
        <v>3.6363636363636364E-3</v>
      </c>
      <c r="AU18" s="2">
        <f t="shared" si="32"/>
        <v>7.2727272727272727E-3</v>
      </c>
      <c r="AV18" s="2">
        <f t="shared" si="33"/>
        <v>0.15272727272727274</v>
      </c>
      <c r="AW18">
        <v>653600</v>
      </c>
      <c r="AX18" s="33">
        <v>1434808000</v>
      </c>
      <c r="AY18" s="33">
        <f t="shared" si="34"/>
        <v>923569000</v>
      </c>
      <c r="AZ18">
        <v>1215793000</v>
      </c>
      <c r="BA18">
        <v>86037000</v>
      </c>
      <c r="BB18">
        <v>513664000</v>
      </c>
      <c r="BC18">
        <v>59986000</v>
      </c>
      <c r="BD18">
        <v>6296000</v>
      </c>
      <c r="BE18">
        <v>292224000</v>
      </c>
      <c r="BF18">
        <v>164577000</v>
      </c>
      <c r="BG18">
        <v>40418000</v>
      </c>
      <c r="BH18">
        <v>51304000</v>
      </c>
      <c r="BI18">
        <v>1286000</v>
      </c>
      <c r="BJ18">
        <v>135901000</v>
      </c>
      <c r="BK18">
        <v>48223000</v>
      </c>
      <c r="BL18">
        <v>83115000</v>
      </c>
      <c r="BM18">
        <v>9483000</v>
      </c>
      <c r="BN18" s="1">
        <f t="shared" si="4"/>
        <v>0.84735588315649202</v>
      </c>
      <c r="BO18" s="1">
        <f t="shared" si="35"/>
        <v>5.9964120634956035E-2</v>
      </c>
      <c r="BP18" s="1">
        <f t="shared" si="36"/>
        <v>0.358001906875345</v>
      </c>
      <c r="BQ18" s="1">
        <f t="shared" si="37"/>
        <v>4.1807684373100791E-2</v>
      </c>
      <c r="BR18" s="1">
        <f t="shared" si="38"/>
        <v>4.3880435570473539E-3</v>
      </c>
      <c r="BS18" s="1">
        <f t="shared" si="39"/>
        <v>0.20366766842671633</v>
      </c>
      <c r="BT18" s="1">
        <f t="shared" si="40"/>
        <v>0.11470315191997814</v>
      </c>
      <c r="BU18" s="1">
        <f t="shared" si="41"/>
        <v>2.8169622695161999E-2</v>
      </c>
      <c r="BV18" s="1">
        <f t="shared" si="42"/>
        <v>3.5756700548087272E-2</v>
      </c>
      <c r="BW18" s="1">
        <f t="shared" si="43"/>
        <v>8.962871687361654E-4</v>
      </c>
      <c r="BX18" s="1">
        <f t="shared" si="44"/>
        <v>9.4717202580414939E-2</v>
      </c>
      <c r="BY18" s="1">
        <f t="shared" si="45"/>
        <v>3.3609374912880331E-2</v>
      </c>
      <c r="BZ18" s="1">
        <f t="shared" si="46"/>
        <v>5.7927611220455977E-2</v>
      </c>
      <c r="CA18" s="1">
        <f t="shared" si="47"/>
        <v>6.6092466727255489E-3</v>
      </c>
      <c r="CB18" s="2">
        <f t="shared" si="48"/>
        <v>0.27115388261007745</v>
      </c>
      <c r="CC18" s="2">
        <f t="shared" si="49"/>
        <v>1.918851860318593E-2</v>
      </c>
      <c r="CD18" s="2">
        <f t="shared" si="50"/>
        <v>0.11456061020011041</v>
      </c>
      <c r="CE18" s="2">
        <f t="shared" si="51"/>
        <v>1.3378458999392254E-2</v>
      </c>
      <c r="CF18" s="2">
        <f t="shared" si="52"/>
        <v>1.4041739382551534E-3</v>
      </c>
      <c r="CG18" s="2">
        <f t="shared" si="53"/>
        <v>6.5173653896549222E-2</v>
      </c>
      <c r="CH18" s="2">
        <f t="shared" si="54"/>
        <v>3.6705008614393006E-2</v>
      </c>
      <c r="CI18" s="2">
        <f t="shared" si="55"/>
        <v>9.0142792624518398E-3</v>
      </c>
      <c r="CJ18" s="2">
        <f t="shared" si="56"/>
        <v>1.1442144175387928E-2</v>
      </c>
      <c r="CK18" s="2">
        <f t="shared" si="57"/>
        <v>2.8681189399557293E-4</v>
      </c>
      <c r="CL18" s="2">
        <f t="shared" si="58"/>
        <v>3.0309504825732782E-2</v>
      </c>
      <c r="CM18" s="2">
        <f t="shared" si="59"/>
        <v>1.0754999972121706E-2</v>
      </c>
      <c r="CN18" s="2">
        <f t="shared" si="60"/>
        <v>1.8536835590545912E-2</v>
      </c>
      <c r="CO18" s="2">
        <f t="shared" si="61"/>
        <v>2.1149589352721758E-3</v>
      </c>
    </row>
    <row r="19" spans="1:93" x14ac:dyDescent="0.25">
      <c r="A19" s="29">
        <v>16</v>
      </c>
      <c r="B19" t="s">
        <v>16</v>
      </c>
      <c r="C19">
        <v>760673</v>
      </c>
      <c r="D19">
        <v>1.1000000000000001</v>
      </c>
      <c r="E19">
        <v>2.57</v>
      </c>
      <c r="F19">
        <v>200</v>
      </c>
      <c r="G19">
        <v>1300</v>
      </c>
      <c r="H19">
        <v>5800</v>
      </c>
      <c r="I19">
        <v>15600</v>
      </c>
      <c r="J19">
        <v>62100</v>
      </c>
      <c r="K19">
        <v>399400</v>
      </c>
      <c r="L19">
        <v>484400</v>
      </c>
      <c r="M19">
        <v>0</v>
      </c>
      <c r="N19">
        <v>1100</v>
      </c>
      <c r="O19">
        <v>4600</v>
      </c>
      <c r="P19">
        <v>13500</v>
      </c>
      <c r="Q19">
        <v>66000</v>
      </c>
      <c r="R19">
        <v>938800</v>
      </c>
      <c r="S19">
        <v>1024000</v>
      </c>
      <c r="T19">
        <f t="shared" si="0"/>
        <v>1508400</v>
      </c>
      <c r="U19" s="1">
        <f t="shared" si="1"/>
        <v>1.3259082471492973E-4</v>
      </c>
      <c r="V19" s="1">
        <f t="shared" si="7"/>
        <v>8.6184036064704326E-4</v>
      </c>
      <c r="W19" s="1">
        <f t="shared" si="8"/>
        <v>3.8451339167329623E-3</v>
      </c>
      <c r="X19" s="1">
        <f t="shared" si="9"/>
        <v>1.0342084327764518E-2</v>
      </c>
      <c r="Y19" s="1">
        <f t="shared" si="10"/>
        <v>4.1169451073985681E-2</v>
      </c>
      <c r="Z19" s="1">
        <f t="shared" si="11"/>
        <v>0.26478387695571465</v>
      </c>
      <c r="AA19" s="1">
        <f t="shared" si="12"/>
        <v>0.32113497745955982</v>
      </c>
      <c r="AB19" s="1">
        <f t="shared" si="13"/>
        <v>0</v>
      </c>
      <c r="AC19" s="1">
        <f t="shared" si="14"/>
        <v>7.2924953593211353E-4</v>
      </c>
      <c r="AD19" s="1">
        <f t="shared" si="15"/>
        <v>3.0495889684433839E-3</v>
      </c>
      <c r="AE19" s="1">
        <f t="shared" si="16"/>
        <v>8.9498806682577568E-3</v>
      </c>
      <c r="AF19" s="1">
        <f t="shared" si="17"/>
        <v>4.3754972155926809E-2</v>
      </c>
      <c r="AG19" s="1">
        <f t="shared" si="18"/>
        <v>0.62238133121188011</v>
      </c>
      <c r="AH19" s="1">
        <f t="shared" si="19"/>
        <v>0.67886502254044023</v>
      </c>
      <c r="AI19" s="2">
        <f t="shared" si="20"/>
        <v>3.4075841951736939E-4</v>
      </c>
      <c r="AJ19" s="2">
        <f t="shared" si="21"/>
        <v>2.2149297268629011E-3</v>
      </c>
      <c r="AK19" s="2">
        <f t="shared" si="22"/>
        <v>9.8819941660037124E-3</v>
      </c>
      <c r="AL19" s="2">
        <f t="shared" si="23"/>
        <v>2.6579156722354811E-2</v>
      </c>
      <c r="AM19" s="2">
        <f t="shared" si="24"/>
        <v>0.1058054892601432</v>
      </c>
      <c r="AN19" s="2">
        <f t="shared" si="25"/>
        <v>0.68049456377618656</v>
      </c>
      <c r="AO19" s="2">
        <f t="shared" si="26"/>
        <v>0.82531689207106873</v>
      </c>
      <c r="AP19" s="2">
        <f t="shared" si="27"/>
        <v>0</v>
      </c>
      <c r="AQ19" s="2">
        <f t="shared" si="28"/>
        <v>1.8741713073455316E-3</v>
      </c>
      <c r="AR19" s="2">
        <f t="shared" si="29"/>
        <v>7.8374436488994961E-3</v>
      </c>
      <c r="AS19" s="2">
        <f t="shared" si="30"/>
        <v>2.3001193317422432E-2</v>
      </c>
      <c r="AT19" s="2">
        <f t="shared" si="31"/>
        <v>0.1124502784407319</v>
      </c>
      <c r="AU19" s="2">
        <f t="shared" si="32"/>
        <v>1.5995200212145317</v>
      </c>
      <c r="AV19" s="2">
        <f t="shared" si="33"/>
        <v>1.7446831079289313</v>
      </c>
      <c r="AW19">
        <v>271600</v>
      </c>
      <c r="AX19" s="33">
        <v>986264000</v>
      </c>
      <c r="AY19" s="33">
        <f t="shared" si="34"/>
        <v>109492000</v>
      </c>
      <c r="AZ19">
        <v>529120000</v>
      </c>
      <c r="BA19">
        <v>39744000</v>
      </c>
      <c r="BB19">
        <v>6956000</v>
      </c>
      <c r="BC19">
        <v>5153000</v>
      </c>
      <c r="BD19">
        <v>8884000</v>
      </c>
      <c r="BE19">
        <v>419628000</v>
      </c>
      <c r="BF19">
        <v>18504000</v>
      </c>
      <c r="BG19">
        <v>18149000</v>
      </c>
      <c r="BH19">
        <v>11333000</v>
      </c>
      <c r="BI19">
        <v>770000</v>
      </c>
      <c r="BJ19">
        <v>371051000</v>
      </c>
      <c r="BK19">
        <v>345240000</v>
      </c>
      <c r="BL19">
        <v>86093000</v>
      </c>
      <c r="BM19">
        <v>36243000</v>
      </c>
      <c r="BN19" s="1">
        <f t="shared" si="4"/>
        <v>0.53648921586917908</v>
      </c>
      <c r="BO19" s="1">
        <f t="shared" si="35"/>
        <v>4.0297526828516506E-2</v>
      </c>
      <c r="BP19" s="1">
        <f t="shared" si="36"/>
        <v>7.0528783368347626E-3</v>
      </c>
      <c r="BQ19" s="1">
        <f t="shared" si="37"/>
        <v>5.2247674050761254E-3</v>
      </c>
      <c r="BR19" s="1">
        <f t="shared" si="38"/>
        <v>9.0077301817768872E-3</v>
      </c>
      <c r="BS19" s="1">
        <f t="shared" si="39"/>
        <v>0.42547228733888698</v>
      </c>
      <c r="BT19" s="1">
        <f t="shared" si="40"/>
        <v>1.8761710860378155E-2</v>
      </c>
      <c r="BU19" s="1">
        <f t="shared" si="41"/>
        <v>1.8401766666937047E-2</v>
      </c>
      <c r="BV19" s="1">
        <f t="shared" si="42"/>
        <v>1.1490838152867793E-2</v>
      </c>
      <c r="BW19" s="1">
        <f t="shared" si="43"/>
        <v>7.807240252102885E-4</v>
      </c>
      <c r="BX19" s="1">
        <f t="shared" si="44"/>
        <v>0.37621874062117244</v>
      </c>
      <c r="BY19" s="1">
        <f t="shared" si="45"/>
        <v>0.35004826293974028</v>
      </c>
      <c r="BZ19" s="1">
        <f t="shared" si="46"/>
        <v>8.7292043509648531E-2</v>
      </c>
      <c r="CA19" s="1">
        <f t="shared" si="47"/>
        <v>3.6747767332073362E-2</v>
      </c>
      <c r="CB19" s="2">
        <f t="shared" si="48"/>
        <v>1.3787772847837902</v>
      </c>
      <c r="CC19" s="2">
        <f t="shared" si="49"/>
        <v>0.10356464394928741</v>
      </c>
      <c r="CD19" s="2">
        <f t="shared" si="50"/>
        <v>1.812589732566534E-2</v>
      </c>
      <c r="CE19" s="2">
        <f t="shared" si="51"/>
        <v>1.3427652231045641E-2</v>
      </c>
      <c r="CF19" s="2">
        <f t="shared" si="52"/>
        <v>2.31498665671666E-2</v>
      </c>
      <c r="CG19" s="2">
        <f t="shared" si="53"/>
        <v>1.0934637784609396</v>
      </c>
      <c r="CH19" s="2">
        <f t="shared" si="54"/>
        <v>4.8217596911171855E-2</v>
      </c>
      <c r="CI19" s="2">
        <f t="shared" si="55"/>
        <v>4.7292540334028209E-2</v>
      </c>
      <c r="CJ19" s="2">
        <f t="shared" si="56"/>
        <v>2.9531454052870224E-2</v>
      </c>
      <c r="CK19" s="2">
        <f t="shared" si="57"/>
        <v>2.0064607447904414E-3</v>
      </c>
      <c r="CL19" s="2">
        <f t="shared" si="58"/>
        <v>0.96688216339641309</v>
      </c>
      <c r="CM19" s="2">
        <f t="shared" si="59"/>
        <v>0.8996240357551325</v>
      </c>
      <c r="CN19" s="2">
        <f t="shared" si="60"/>
        <v>0.2243405518197967</v>
      </c>
      <c r="CO19" s="2">
        <f t="shared" si="61"/>
        <v>9.4441762043428537E-2</v>
      </c>
    </row>
    <row r="20" spans="1:93" x14ac:dyDescent="0.25">
      <c r="A20" s="29">
        <v>13</v>
      </c>
      <c r="B20" t="s">
        <v>17</v>
      </c>
      <c r="C20">
        <v>3964561</v>
      </c>
      <c r="D20">
        <v>6</v>
      </c>
      <c r="E20">
        <v>8.58</v>
      </c>
      <c r="F20">
        <v>8300</v>
      </c>
      <c r="G20">
        <v>41000</v>
      </c>
      <c r="H20">
        <v>290100</v>
      </c>
      <c r="I20">
        <v>498400</v>
      </c>
      <c r="J20">
        <v>722000</v>
      </c>
      <c r="K20">
        <v>597500</v>
      </c>
      <c r="L20">
        <v>2157300</v>
      </c>
      <c r="M20">
        <v>7700</v>
      </c>
      <c r="N20">
        <v>46200</v>
      </c>
      <c r="O20">
        <v>225900</v>
      </c>
      <c r="P20">
        <v>350000</v>
      </c>
      <c r="Q20">
        <v>506600</v>
      </c>
      <c r="R20">
        <v>631600</v>
      </c>
      <c r="S20">
        <v>1768000</v>
      </c>
      <c r="T20">
        <f t="shared" si="0"/>
        <v>3925300</v>
      </c>
      <c r="U20" s="1">
        <f t="shared" si="1"/>
        <v>2.114488064606527E-3</v>
      </c>
      <c r="V20" s="1">
        <f t="shared" si="7"/>
        <v>1.0445061523959952E-2</v>
      </c>
      <c r="W20" s="1">
        <f t="shared" si="8"/>
        <v>7.3905179221970291E-2</v>
      </c>
      <c r="X20" s="1">
        <f t="shared" si="9"/>
        <v>0.12697118691564976</v>
      </c>
      <c r="Y20" s="1">
        <f t="shared" si="10"/>
        <v>0.1839349858609533</v>
      </c>
      <c r="Z20" s="1">
        <f t="shared" si="11"/>
        <v>0.1522176648918554</v>
      </c>
      <c r="AA20" s="1">
        <f t="shared" si="12"/>
        <v>0.54958856647899523</v>
      </c>
      <c r="AB20" s="1">
        <f t="shared" si="13"/>
        <v>1.961633505719308E-3</v>
      </c>
      <c r="AC20" s="1">
        <f t="shared" si="14"/>
        <v>1.1769801034315849E-2</v>
      </c>
      <c r="AD20" s="1">
        <f t="shared" si="15"/>
        <v>5.754974142103788E-2</v>
      </c>
      <c r="AE20" s="1">
        <f t="shared" si="16"/>
        <v>8.916515935087764E-2</v>
      </c>
      <c r="AF20" s="1">
        <f t="shared" si="17"/>
        <v>0.12906019922044176</v>
      </c>
      <c r="AG20" s="1">
        <f t="shared" si="18"/>
        <v>0.16090489898861232</v>
      </c>
      <c r="AH20" s="1">
        <f t="shared" si="19"/>
        <v>0.45041143352100477</v>
      </c>
      <c r="AI20" s="2">
        <f t="shared" si="20"/>
        <v>1.8142307594324003E-2</v>
      </c>
      <c r="AJ20" s="2">
        <f t="shared" si="21"/>
        <v>8.9618627875576395E-2</v>
      </c>
      <c r="AK20" s="2">
        <f t="shared" si="22"/>
        <v>0.63410643772450515</v>
      </c>
      <c r="AL20" s="2">
        <f t="shared" si="23"/>
        <v>1.089412783736275</v>
      </c>
      <c r="AM20" s="2">
        <f t="shared" si="24"/>
        <v>1.5781621786869793</v>
      </c>
      <c r="AN20" s="2">
        <f t="shared" si="25"/>
        <v>1.3060275647721193</v>
      </c>
      <c r="AO20" s="2">
        <f t="shared" si="26"/>
        <v>4.7154699003897793</v>
      </c>
      <c r="AP20" s="2">
        <f t="shared" si="27"/>
        <v>1.6830815479071663E-2</v>
      </c>
      <c r="AQ20" s="2">
        <f t="shared" si="28"/>
        <v>0.10098489287442998</v>
      </c>
      <c r="AR20" s="2">
        <f t="shared" si="29"/>
        <v>0.49377678139250503</v>
      </c>
      <c r="AS20" s="2">
        <f t="shared" si="30"/>
        <v>0.76503706723053011</v>
      </c>
      <c r="AT20" s="2">
        <f t="shared" si="31"/>
        <v>1.1073365093113903</v>
      </c>
      <c r="AU20" s="2">
        <f t="shared" si="32"/>
        <v>1.3805640333222937</v>
      </c>
      <c r="AV20" s="2">
        <f t="shared" si="33"/>
        <v>3.8645300996102208</v>
      </c>
      <c r="AW20">
        <v>3624100</v>
      </c>
      <c r="AX20" s="33">
        <v>3734240000</v>
      </c>
      <c r="AY20" s="33">
        <f t="shared" si="34"/>
        <v>1090781000</v>
      </c>
      <c r="AZ20">
        <v>2138952000</v>
      </c>
      <c r="BA20">
        <v>484234000</v>
      </c>
      <c r="BB20">
        <v>38583000</v>
      </c>
      <c r="BC20">
        <v>91623000</v>
      </c>
      <c r="BD20">
        <v>119370000</v>
      </c>
      <c r="BE20">
        <v>1048171000</v>
      </c>
      <c r="BF20">
        <v>251836000</v>
      </c>
      <c r="BG20">
        <v>55953000</v>
      </c>
      <c r="BH20">
        <v>40028000</v>
      </c>
      <c r="BI20">
        <v>9154000</v>
      </c>
      <c r="BJ20">
        <v>1153104000</v>
      </c>
      <c r="BK20">
        <v>770331000</v>
      </c>
      <c r="BL20">
        <v>442184000</v>
      </c>
      <c r="BM20">
        <v>200190000</v>
      </c>
      <c r="BN20" s="1">
        <f t="shared" si="4"/>
        <v>0.572794464201551</v>
      </c>
      <c r="BO20" s="1">
        <f t="shared" si="35"/>
        <v>0.12967404344659153</v>
      </c>
      <c r="BP20" s="1">
        <f t="shared" si="36"/>
        <v>1.0332222888727023E-2</v>
      </c>
      <c r="BQ20" s="1">
        <f t="shared" si="37"/>
        <v>2.4535916277475471E-2</v>
      </c>
      <c r="BR20" s="1">
        <f t="shared" si="38"/>
        <v>3.1966343887912939E-2</v>
      </c>
      <c r="BS20" s="1">
        <f t="shared" si="39"/>
        <v>0.28069192124769698</v>
      </c>
      <c r="BT20" s="1">
        <f t="shared" si="40"/>
        <v>6.7439693217361499E-2</v>
      </c>
      <c r="BU20" s="1">
        <f t="shared" si="41"/>
        <v>1.4983771798277562E-2</v>
      </c>
      <c r="BV20" s="1">
        <f t="shared" si="42"/>
        <v>1.0719182484253824E-2</v>
      </c>
      <c r="BW20" s="1">
        <f t="shared" si="43"/>
        <v>2.4513689532542097E-3</v>
      </c>
      <c r="BX20" s="1">
        <f t="shared" si="44"/>
        <v>0.30879215047774111</v>
      </c>
      <c r="BY20" s="1">
        <f t="shared" si="45"/>
        <v>0.20628856206349885</v>
      </c>
      <c r="BZ20" s="1">
        <f t="shared" si="46"/>
        <v>0.11841338532070783</v>
      </c>
      <c r="CA20" s="1">
        <f t="shared" si="47"/>
        <v>5.3609302026650672E-2</v>
      </c>
      <c r="CB20" s="2">
        <f t="shared" si="48"/>
        <v>4.9145765028493074</v>
      </c>
      <c r="CC20" s="2">
        <f t="shared" si="49"/>
        <v>1.1126032927717553</v>
      </c>
      <c r="CD20" s="2">
        <f t="shared" si="50"/>
        <v>8.8650472385277859E-2</v>
      </c>
      <c r="CE20" s="2">
        <f t="shared" si="51"/>
        <v>0.21051816166073956</v>
      </c>
      <c r="CF20" s="2">
        <f t="shared" si="52"/>
        <v>0.274271230558293</v>
      </c>
      <c r="CG20" s="2">
        <f t="shared" si="53"/>
        <v>2.4083366843052403</v>
      </c>
      <c r="CH20" s="2">
        <f t="shared" si="54"/>
        <v>0.57863256780496164</v>
      </c>
      <c r="CI20" s="2">
        <f t="shared" si="55"/>
        <v>0.12856076202922148</v>
      </c>
      <c r="CJ20" s="2">
        <f t="shared" si="56"/>
        <v>9.1970585714897801E-2</v>
      </c>
      <c r="CK20" s="2">
        <f t="shared" si="57"/>
        <v>2.1032745618921121E-2</v>
      </c>
      <c r="CL20" s="2">
        <f t="shared" si="58"/>
        <v>2.6494366510990188</v>
      </c>
      <c r="CM20" s="2">
        <f t="shared" si="59"/>
        <v>1.7699558625048202</v>
      </c>
      <c r="CN20" s="2">
        <f t="shared" si="60"/>
        <v>1.0159868460516732</v>
      </c>
      <c r="CO20" s="2">
        <f t="shared" si="61"/>
        <v>0.45996781138866277</v>
      </c>
    </row>
    <row r="21" spans="1:93" x14ac:dyDescent="0.25">
      <c r="A21" s="29">
        <v>27</v>
      </c>
      <c r="B21" t="s">
        <v>18</v>
      </c>
      <c r="C21">
        <v>342385</v>
      </c>
      <c r="D21">
        <v>0.52</v>
      </c>
      <c r="E21">
        <v>0.61</v>
      </c>
      <c r="F21">
        <v>23700</v>
      </c>
      <c r="G21">
        <v>41500</v>
      </c>
      <c r="H21">
        <v>63400</v>
      </c>
      <c r="I21">
        <v>45300</v>
      </c>
      <c r="J21">
        <v>43300</v>
      </c>
      <c r="K21">
        <v>45600</v>
      </c>
      <c r="L21">
        <v>262800</v>
      </c>
      <c r="M21">
        <v>19800</v>
      </c>
      <c r="N21">
        <v>38100</v>
      </c>
      <c r="O21">
        <v>52000</v>
      </c>
      <c r="P21">
        <v>34700</v>
      </c>
      <c r="Q21">
        <v>34800</v>
      </c>
      <c r="R21">
        <v>58200</v>
      </c>
      <c r="S21">
        <v>237500</v>
      </c>
      <c r="T21">
        <f t="shared" si="0"/>
        <v>500300</v>
      </c>
      <c r="U21" s="1">
        <f t="shared" si="1"/>
        <v>4.7371577053767738E-2</v>
      </c>
      <c r="V21" s="1">
        <f t="shared" si="7"/>
        <v>8.2950229862082753E-2</v>
      </c>
      <c r="W21" s="1">
        <f t="shared" si="8"/>
        <v>0.12672396562062763</v>
      </c>
      <c r="X21" s="1">
        <f t="shared" si="9"/>
        <v>9.0545672596442139E-2</v>
      </c>
      <c r="Y21" s="1">
        <f t="shared" si="10"/>
        <v>8.6548071157305617E-2</v>
      </c>
      <c r="Z21" s="1">
        <f t="shared" si="11"/>
        <v>9.1145312812312612E-2</v>
      </c>
      <c r="AA21" s="1">
        <f t="shared" si="12"/>
        <v>0.52528482910253849</v>
      </c>
      <c r="AB21" s="1">
        <f t="shared" si="13"/>
        <v>3.957625424745153E-2</v>
      </c>
      <c r="AC21" s="1">
        <f t="shared" si="14"/>
        <v>7.6154307415550668E-2</v>
      </c>
      <c r="AD21" s="1">
        <f t="shared" si="15"/>
        <v>0.10393763741754947</v>
      </c>
      <c r="AE21" s="1">
        <f t="shared" si="16"/>
        <v>6.9358384969018583E-2</v>
      </c>
      <c r="AF21" s="1">
        <f t="shared" si="17"/>
        <v>6.9558265040975412E-2</v>
      </c>
      <c r="AG21" s="1">
        <f t="shared" si="18"/>
        <v>0.11633020187887268</v>
      </c>
      <c r="AH21" s="1">
        <f t="shared" si="19"/>
        <v>0.47471517089746151</v>
      </c>
      <c r="AI21" s="2">
        <f t="shared" si="20"/>
        <v>2.8896662002798321E-2</v>
      </c>
      <c r="AJ21" s="2">
        <f t="shared" si="21"/>
        <v>5.0599640215870476E-2</v>
      </c>
      <c r="AK21" s="2">
        <f t="shared" si="22"/>
        <v>7.7301619028582846E-2</v>
      </c>
      <c r="AL21" s="2">
        <f t="shared" si="23"/>
        <v>5.5232860283829704E-2</v>
      </c>
      <c r="AM21" s="2">
        <f t="shared" si="24"/>
        <v>5.2794323405956425E-2</v>
      </c>
      <c r="AN21" s="2">
        <f t="shared" si="25"/>
        <v>5.5598640815510691E-2</v>
      </c>
      <c r="AO21" s="2">
        <f t="shared" si="26"/>
        <v>0.32042374575254845</v>
      </c>
      <c r="AP21" s="2">
        <f t="shared" si="27"/>
        <v>2.4141515090945434E-2</v>
      </c>
      <c r="AQ21" s="2">
        <f t="shared" si="28"/>
        <v>4.6454127523485905E-2</v>
      </c>
      <c r="AR21" s="2">
        <f t="shared" si="29"/>
        <v>6.3401958824705174E-2</v>
      </c>
      <c r="AS21" s="2">
        <f t="shared" si="30"/>
        <v>4.2308614831101335E-2</v>
      </c>
      <c r="AT21" s="2">
        <f t="shared" si="31"/>
        <v>4.2430541674995E-2</v>
      </c>
      <c r="AU21" s="2">
        <f t="shared" si="32"/>
        <v>7.0961423146112326E-2</v>
      </c>
      <c r="AV21" s="2">
        <f t="shared" si="33"/>
        <v>0.28957625424745154</v>
      </c>
      <c r="AW21">
        <v>218700</v>
      </c>
      <c r="AX21" s="33">
        <v>223254000</v>
      </c>
      <c r="AY21" s="33">
        <f t="shared" si="34"/>
        <v>123047000</v>
      </c>
      <c r="AZ21">
        <v>144898000</v>
      </c>
      <c r="BA21">
        <v>29871000</v>
      </c>
      <c r="BB21">
        <v>27339000</v>
      </c>
      <c r="BC21">
        <v>6527000</v>
      </c>
      <c r="BD21">
        <v>4966000</v>
      </c>
      <c r="BE21">
        <v>21851000</v>
      </c>
      <c r="BF21">
        <v>38541000</v>
      </c>
      <c r="BG21">
        <v>8078000</v>
      </c>
      <c r="BH21">
        <v>6795000</v>
      </c>
      <c r="BI21">
        <v>930000</v>
      </c>
      <c r="BJ21">
        <v>36817000</v>
      </c>
      <c r="BK21">
        <v>14077000</v>
      </c>
      <c r="BL21">
        <v>41539000</v>
      </c>
      <c r="BM21">
        <v>4616000</v>
      </c>
      <c r="BN21" s="1">
        <f t="shared" si="4"/>
        <v>0.64902756501563241</v>
      </c>
      <c r="BO21" s="1">
        <f t="shared" si="35"/>
        <v>0.1337982746109812</v>
      </c>
      <c r="BP21" s="1">
        <f t="shared" si="36"/>
        <v>0.12245693246257626</v>
      </c>
      <c r="BQ21" s="1">
        <f t="shared" si="37"/>
        <v>2.9235758373870119E-2</v>
      </c>
      <c r="BR21" s="1">
        <f t="shared" si="38"/>
        <v>2.224372239691114E-2</v>
      </c>
      <c r="BS21" s="1">
        <f t="shared" si="39"/>
        <v>9.7875066068245142E-2</v>
      </c>
      <c r="BT21" s="1">
        <f t="shared" si="40"/>
        <v>0.17263296514284179</v>
      </c>
      <c r="BU21" s="1">
        <f t="shared" si="41"/>
        <v>3.6183002320227184E-2</v>
      </c>
      <c r="BV21" s="1">
        <f t="shared" si="42"/>
        <v>3.0436184794001453E-2</v>
      </c>
      <c r="BW21" s="1">
        <f t="shared" si="43"/>
        <v>4.1656588459781235E-3</v>
      </c>
      <c r="BX21" s="1">
        <f t="shared" si="44"/>
        <v>0.16491081906707158</v>
      </c>
      <c r="BY21" s="1">
        <f t="shared" si="45"/>
        <v>6.3053741478316175E-2</v>
      </c>
      <c r="BZ21" s="1">
        <f t="shared" si="46"/>
        <v>0.186061615917296</v>
      </c>
      <c r="CA21" s="1">
        <f t="shared" si="47"/>
        <v>2.0676001325844105E-2</v>
      </c>
      <c r="CB21" s="2">
        <f t="shared" si="48"/>
        <v>0.39590681465953576</v>
      </c>
      <c r="CC21" s="2">
        <f t="shared" si="49"/>
        <v>8.1616947512698532E-2</v>
      </c>
      <c r="CD21" s="2">
        <f t="shared" si="50"/>
        <v>7.4698728802171516E-2</v>
      </c>
      <c r="CE21" s="2">
        <f t="shared" si="51"/>
        <v>1.7833812608060773E-2</v>
      </c>
      <c r="CF21" s="2">
        <f t="shared" si="52"/>
        <v>1.3568670662115794E-2</v>
      </c>
      <c r="CG21" s="2">
        <f t="shared" si="53"/>
        <v>5.9703790301629533E-2</v>
      </c>
      <c r="CH21" s="2">
        <f t="shared" si="54"/>
        <v>0.10530610873713349</v>
      </c>
      <c r="CI21" s="2">
        <f t="shared" si="55"/>
        <v>2.2071631415338581E-2</v>
      </c>
      <c r="CJ21" s="2">
        <f t="shared" si="56"/>
        <v>1.8566072724340885E-2</v>
      </c>
      <c r="CK21" s="2">
        <f t="shared" si="57"/>
        <v>2.5410518960466552E-3</v>
      </c>
      <c r="CL21" s="2">
        <f t="shared" si="58"/>
        <v>0.10059559963091366</v>
      </c>
      <c r="CM21" s="2">
        <f t="shared" si="59"/>
        <v>3.8462782301772865E-2</v>
      </c>
      <c r="CN21" s="2">
        <f t="shared" si="60"/>
        <v>0.11349758570955056</v>
      </c>
      <c r="CO21" s="2">
        <f t="shared" si="61"/>
        <v>1.2612360808764904E-2</v>
      </c>
    </row>
    <row r="22" spans="1:93" x14ac:dyDescent="0.25">
      <c r="A22" s="29">
        <v>3</v>
      </c>
      <c r="B22" t="s">
        <v>19</v>
      </c>
      <c r="C22">
        <v>220811</v>
      </c>
      <c r="D22">
        <v>0.33</v>
      </c>
      <c r="E22">
        <v>0.22</v>
      </c>
      <c r="F22">
        <v>0</v>
      </c>
      <c r="G22">
        <v>600</v>
      </c>
      <c r="H22">
        <v>6500</v>
      </c>
      <c r="I22">
        <v>17300</v>
      </c>
      <c r="J22">
        <v>37200</v>
      </c>
      <c r="K22">
        <v>51400</v>
      </c>
      <c r="L22">
        <v>113000</v>
      </c>
      <c r="M22">
        <v>0</v>
      </c>
      <c r="N22">
        <v>800</v>
      </c>
      <c r="O22">
        <v>7200</v>
      </c>
      <c r="P22">
        <v>15000</v>
      </c>
      <c r="Q22">
        <v>27500</v>
      </c>
      <c r="R22">
        <v>55100</v>
      </c>
      <c r="S22">
        <v>105700</v>
      </c>
      <c r="T22">
        <f t="shared" si="0"/>
        <v>218700</v>
      </c>
      <c r="U22" s="1">
        <f t="shared" si="1"/>
        <v>0</v>
      </c>
      <c r="V22" s="1">
        <f t="shared" si="7"/>
        <v>2.7434842249657062E-3</v>
      </c>
      <c r="W22" s="1">
        <f t="shared" si="8"/>
        <v>2.9721079103795154E-2</v>
      </c>
      <c r="X22" s="1">
        <f t="shared" si="9"/>
        <v>7.9103795153177864E-2</v>
      </c>
      <c r="Y22" s="1">
        <f t="shared" si="10"/>
        <v>0.17009602194787379</v>
      </c>
      <c r="Z22" s="1">
        <f t="shared" si="11"/>
        <v>0.23502514860539553</v>
      </c>
      <c r="AA22" s="1">
        <f t="shared" si="12"/>
        <v>0.51668952903520804</v>
      </c>
      <c r="AB22" s="1">
        <f t="shared" si="13"/>
        <v>0</v>
      </c>
      <c r="AC22" s="1">
        <f t="shared" si="14"/>
        <v>3.6579789666209418E-3</v>
      </c>
      <c r="AD22" s="1">
        <f t="shared" si="15"/>
        <v>3.292181069958848E-2</v>
      </c>
      <c r="AE22" s="1">
        <f t="shared" si="16"/>
        <v>6.8587105624142664E-2</v>
      </c>
      <c r="AF22" s="1">
        <f t="shared" si="17"/>
        <v>0.12574302697759487</v>
      </c>
      <c r="AG22" s="1">
        <f t="shared" si="18"/>
        <v>0.25194330132601739</v>
      </c>
      <c r="AH22" s="1">
        <f t="shared" si="19"/>
        <v>0.48331047096479196</v>
      </c>
      <c r="AI22" s="2">
        <f t="shared" si="20"/>
        <v>0</v>
      </c>
      <c r="AJ22" s="2">
        <f t="shared" si="21"/>
        <v>6.0356652949245535E-4</v>
      </c>
      <c r="AK22" s="2">
        <f t="shared" si="22"/>
        <v>6.5386374028349337E-3</v>
      </c>
      <c r="AL22" s="2">
        <f t="shared" si="23"/>
        <v>1.7402834933699131E-2</v>
      </c>
      <c r="AM22" s="2">
        <f t="shared" si="24"/>
        <v>3.7421124828532236E-2</v>
      </c>
      <c r="AN22" s="2">
        <f t="shared" si="25"/>
        <v>5.1705532693187013E-2</v>
      </c>
      <c r="AO22" s="2">
        <f t="shared" si="26"/>
        <v>0.11367169638774577</v>
      </c>
      <c r="AP22" s="2">
        <f t="shared" si="27"/>
        <v>0</v>
      </c>
      <c r="AQ22" s="2">
        <f t="shared" si="28"/>
        <v>8.0475537265660717E-4</v>
      </c>
      <c r="AR22" s="2">
        <f t="shared" si="29"/>
        <v>7.2427983539094659E-3</v>
      </c>
      <c r="AS22" s="2">
        <f t="shared" si="30"/>
        <v>1.5089163237311387E-2</v>
      </c>
      <c r="AT22" s="2">
        <f t="shared" si="31"/>
        <v>2.7663465935070873E-2</v>
      </c>
      <c r="AU22" s="2">
        <f t="shared" si="32"/>
        <v>5.5427526291723823E-2</v>
      </c>
      <c r="AV22" s="2">
        <f t="shared" si="33"/>
        <v>0.10632830361225423</v>
      </c>
      <c r="AW22">
        <v>8800</v>
      </c>
      <c r="AX22" s="33">
        <v>317607000</v>
      </c>
      <c r="AY22" s="33">
        <f t="shared" si="34"/>
        <v>41774000</v>
      </c>
      <c r="AZ22">
        <v>282412000</v>
      </c>
      <c r="BA22">
        <v>727000</v>
      </c>
      <c r="BB22">
        <v>5848000</v>
      </c>
      <c r="BC22">
        <v>13464000</v>
      </c>
      <c r="BD22">
        <v>338000</v>
      </c>
      <c r="BE22">
        <v>240638000</v>
      </c>
      <c r="BF22">
        <v>15439000</v>
      </c>
      <c r="BG22">
        <v>277000</v>
      </c>
      <c r="BH22">
        <v>5673000</v>
      </c>
      <c r="BI22">
        <v>9000</v>
      </c>
      <c r="BJ22">
        <v>32982000</v>
      </c>
      <c r="BK22">
        <v>26072000</v>
      </c>
      <c r="BL22">
        <v>2213000</v>
      </c>
      <c r="BM22">
        <v>417000</v>
      </c>
      <c r="BN22" s="1">
        <f t="shared" si="4"/>
        <v>0.88918695116921231</v>
      </c>
      <c r="BO22" s="1">
        <f t="shared" si="35"/>
        <v>2.2889923710749448E-3</v>
      </c>
      <c r="BP22" s="1">
        <f t="shared" si="36"/>
        <v>1.8412692415469431E-2</v>
      </c>
      <c r="BQ22" s="1">
        <f t="shared" si="37"/>
        <v>4.2392012770499393E-2</v>
      </c>
      <c r="BR22" s="1">
        <f t="shared" si="38"/>
        <v>1.0642082825630418E-3</v>
      </c>
      <c r="BS22" s="1">
        <f t="shared" si="39"/>
        <v>0.75765962337102144</v>
      </c>
      <c r="BT22" s="1">
        <f t="shared" si="40"/>
        <v>4.861038956949941E-2</v>
      </c>
      <c r="BU22" s="1">
        <f t="shared" si="41"/>
        <v>8.7214702446734491E-4</v>
      </c>
      <c r="BV22" s="1">
        <f t="shared" si="42"/>
        <v>1.7861697002899812E-2</v>
      </c>
      <c r="BW22" s="1">
        <f t="shared" si="43"/>
        <v>2.8336906932151999E-5</v>
      </c>
      <c r="BX22" s="1">
        <f t="shared" si="44"/>
        <v>0.10384531827069303</v>
      </c>
      <c r="BY22" s="1">
        <f t="shared" si="45"/>
        <v>8.2088870837229655E-2</v>
      </c>
      <c r="BZ22" s="1">
        <f t="shared" si="46"/>
        <v>6.9677305600947086E-3</v>
      </c>
      <c r="CA22" s="1">
        <f t="shared" si="47"/>
        <v>1.3129433545230427E-3</v>
      </c>
      <c r="CB22" s="2">
        <f t="shared" si="48"/>
        <v>0.19562112925722672</v>
      </c>
      <c r="CC22" s="2">
        <f t="shared" si="49"/>
        <v>5.0357832163648781E-4</v>
      </c>
      <c r="CD22" s="2">
        <f t="shared" si="50"/>
        <v>4.0507923314032747E-3</v>
      </c>
      <c r="CE22" s="2">
        <f t="shared" si="51"/>
        <v>9.3262428095098673E-3</v>
      </c>
      <c r="CF22" s="2">
        <f t="shared" si="52"/>
        <v>2.341258221638692E-4</v>
      </c>
      <c r="CG22" s="2">
        <f t="shared" si="53"/>
        <v>0.16668511714162471</v>
      </c>
      <c r="CH22" s="2">
        <f t="shared" si="54"/>
        <v>1.0694285705289869E-2</v>
      </c>
      <c r="CI22" s="2">
        <f t="shared" si="55"/>
        <v>1.9187234538281588E-4</v>
      </c>
      <c r="CJ22" s="2">
        <f t="shared" si="56"/>
        <v>3.9295733406379584E-3</v>
      </c>
      <c r="CK22" s="2">
        <f t="shared" si="57"/>
        <v>6.23411952507344E-6</v>
      </c>
      <c r="CL22" s="2">
        <f t="shared" si="58"/>
        <v>2.2845970019552467E-2</v>
      </c>
      <c r="CM22" s="2">
        <f t="shared" si="59"/>
        <v>1.8059551584190526E-2</v>
      </c>
      <c r="CN22" s="2">
        <f t="shared" si="60"/>
        <v>1.5329007232208359E-3</v>
      </c>
      <c r="CO22" s="2">
        <f t="shared" si="61"/>
        <v>2.888475379950694E-4</v>
      </c>
    </row>
    <row r="23" spans="1:93" x14ac:dyDescent="0.25">
      <c r="A23" s="29">
        <v>7</v>
      </c>
      <c r="B23" t="s">
        <v>20</v>
      </c>
      <c r="C23">
        <v>495965</v>
      </c>
      <c r="D23">
        <v>1.43</v>
      </c>
      <c r="E23">
        <v>0.57999999999999996</v>
      </c>
      <c r="F23">
        <v>0</v>
      </c>
      <c r="G23">
        <v>0</v>
      </c>
      <c r="H23">
        <v>0</v>
      </c>
      <c r="I23">
        <v>0</v>
      </c>
      <c r="J23">
        <v>0</v>
      </c>
      <c r="K23">
        <v>0</v>
      </c>
      <c r="L23">
        <v>0</v>
      </c>
      <c r="M23">
        <v>0</v>
      </c>
      <c r="N23">
        <v>1300</v>
      </c>
      <c r="O23">
        <v>69200</v>
      </c>
      <c r="P23">
        <v>105100</v>
      </c>
      <c r="Q23">
        <v>144700</v>
      </c>
      <c r="R23">
        <v>171700</v>
      </c>
      <c r="S23">
        <v>492100</v>
      </c>
      <c r="T23">
        <f t="shared" si="0"/>
        <v>492100</v>
      </c>
      <c r="U23" s="1">
        <f t="shared" si="1"/>
        <v>0</v>
      </c>
      <c r="V23" s="1">
        <f t="shared" si="7"/>
        <v>0</v>
      </c>
      <c r="W23" s="1">
        <f t="shared" si="8"/>
        <v>0</v>
      </c>
      <c r="X23" s="1">
        <f t="shared" si="9"/>
        <v>0</v>
      </c>
      <c r="Y23" s="1">
        <f t="shared" si="10"/>
        <v>0</v>
      </c>
      <c r="Z23" s="1">
        <f t="shared" si="11"/>
        <v>0</v>
      </c>
      <c r="AA23" s="1">
        <f t="shared" si="12"/>
        <v>0</v>
      </c>
      <c r="AB23" s="1">
        <f t="shared" si="13"/>
        <v>0</v>
      </c>
      <c r="AC23" s="1">
        <f t="shared" si="14"/>
        <v>2.641739483844747E-3</v>
      </c>
      <c r="AD23" s="1">
        <f t="shared" si="15"/>
        <v>0.14062182483235114</v>
      </c>
      <c r="AE23" s="1">
        <f t="shared" si="16"/>
        <v>0.21357447673237148</v>
      </c>
      <c r="AF23" s="1">
        <f t="shared" si="17"/>
        <v>0.29404592562487297</v>
      </c>
      <c r="AG23" s="1">
        <f t="shared" si="18"/>
        <v>0.3489128225970331</v>
      </c>
      <c r="AH23" s="1">
        <f t="shared" si="19"/>
        <v>1</v>
      </c>
      <c r="AI23" s="2">
        <f t="shared" si="20"/>
        <v>0</v>
      </c>
      <c r="AJ23" s="2">
        <f t="shared" si="21"/>
        <v>0</v>
      </c>
      <c r="AK23" s="2">
        <f t="shared" si="22"/>
        <v>0</v>
      </c>
      <c r="AL23" s="2">
        <f t="shared" si="23"/>
        <v>0</v>
      </c>
      <c r="AM23" s="2">
        <f t="shared" si="24"/>
        <v>0</v>
      </c>
      <c r="AN23" s="2">
        <f t="shared" si="25"/>
        <v>0</v>
      </c>
      <c r="AO23" s="2">
        <f t="shared" si="26"/>
        <v>0</v>
      </c>
      <c r="AP23" s="2">
        <f t="shared" si="27"/>
        <v>0</v>
      </c>
      <c r="AQ23" s="2">
        <f t="shared" si="28"/>
        <v>1.5322089006299532E-3</v>
      </c>
      <c r="AR23" s="2">
        <f t="shared" si="29"/>
        <v>8.156065840276365E-2</v>
      </c>
      <c r="AS23" s="2">
        <f t="shared" si="30"/>
        <v>0.12387319650477545</v>
      </c>
      <c r="AT23" s="2">
        <f t="shared" si="31"/>
        <v>0.1705466368624263</v>
      </c>
      <c r="AU23" s="2">
        <f t="shared" si="32"/>
        <v>0.20236943710627919</v>
      </c>
      <c r="AV23" s="2">
        <f t="shared" si="33"/>
        <v>0.57999999999999996</v>
      </c>
      <c r="AW23">
        <v>754200</v>
      </c>
      <c r="AX23" s="33">
        <v>2449837000</v>
      </c>
      <c r="AY23" s="33">
        <f t="shared" si="34"/>
        <v>1665579000</v>
      </c>
      <c r="AZ23">
        <v>1725958000</v>
      </c>
      <c r="BA23">
        <v>56078000</v>
      </c>
      <c r="BB23">
        <v>1037710000</v>
      </c>
      <c r="BC23">
        <v>195281000</v>
      </c>
      <c r="BD23">
        <v>72466000</v>
      </c>
      <c r="BE23">
        <v>60379000</v>
      </c>
      <c r="BF23">
        <v>181869000</v>
      </c>
      <c r="BG23">
        <v>10308000</v>
      </c>
      <c r="BH23">
        <v>111221000</v>
      </c>
      <c r="BI23">
        <v>645000</v>
      </c>
      <c r="BJ23">
        <v>683661000</v>
      </c>
      <c r="BK23">
        <v>172861000</v>
      </c>
      <c r="BL23">
        <v>40219000</v>
      </c>
      <c r="BM23">
        <v>1126000</v>
      </c>
      <c r="BN23" s="1">
        <f t="shared" si="4"/>
        <v>0.70451952517657301</v>
      </c>
      <c r="BO23" s="1">
        <f t="shared" si="35"/>
        <v>2.2890502510983384E-2</v>
      </c>
      <c r="BP23" s="1">
        <f t="shared" si="36"/>
        <v>0.42358328329599071</v>
      </c>
      <c r="BQ23" s="1">
        <f t="shared" si="37"/>
        <v>7.9711833889356723E-2</v>
      </c>
      <c r="BR23" s="1">
        <f t="shared" si="38"/>
        <v>2.9579927154337209E-2</v>
      </c>
      <c r="BS23" s="1">
        <f t="shared" si="39"/>
        <v>2.4646129518004666E-2</v>
      </c>
      <c r="BT23" s="1">
        <f t="shared" si="40"/>
        <v>7.4237183943258261E-2</v>
      </c>
      <c r="BU23" s="1">
        <f t="shared" si="41"/>
        <v>4.2076268747675864E-3</v>
      </c>
      <c r="BV23" s="1">
        <f t="shared" si="42"/>
        <v>4.5399346976962143E-2</v>
      </c>
      <c r="BW23" s="1">
        <f t="shared" si="43"/>
        <v>2.6328282248982277E-4</v>
      </c>
      <c r="BX23" s="1">
        <f t="shared" si="44"/>
        <v>0.27906387241273606</v>
      </c>
      <c r="BY23" s="1">
        <f t="shared" si="45"/>
        <v>7.056020461769498E-2</v>
      </c>
      <c r="BZ23" s="1">
        <f t="shared" si="46"/>
        <v>1.641701060111346E-2</v>
      </c>
      <c r="CA23" s="1">
        <f t="shared" si="47"/>
        <v>4.5962241569541155E-4</v>
      </c>
      <c r="CB23" s="2">
        <f t="shared" si="48"/>
        <v>0.40862132460241229</v>
      </c>
      <c r="CC23" s="2">
        <f t="shared" si="49"/>
        <v>1.3276491456370361E-2</v>
      </c>
      <c r="CD23" s="2">
        <f t="shared" si="50"/>
        <v>0.24567830431167459</v>
      </c>
      <c r="CE23" s="2">
        <f t="shared" si="51"/>
        <v>4.6232863655826899E-2</v>
      </c>
      <c r="CF23" s="2">
        <f t="shared" si="52"/>
        <v>1.7156357749515579E-2</v>
      </c>
      <c r="CG23" s="2">
        <f t="shared" si="53"/>
        <v>1.4294755120442705E-2</v>
      </c>
      <c r="CH23" s="2">
        <f t="shared" si="54"/>
        <v>4.3057566687089786E-2</v>
      </c>
      <c r="CI23" s="2">
        <f t="shared" si="55"/>
        <v>2.4404235873652E-3</v>
      </c>
      <c r="CJ23" s="2">
        <f t="shared" si="56"/>
        <v>2.6331621246638043E-2</v>
      </c>
      <c r="CK23" s="2">
        <f t="shared" si="57"/>
        <v>1.5270403704409721E-4</v>
      </c>
      <c r="CL23" s="2">
        <f t="shared" si="58"/>
        <v>0.16185704599938691</v>
      </c>
      <c r="CM23" s="2">
        <f t="shared" si="59"/>
        <v>4.0924918678263082E-2</v>
      </c>
      <c r="CN23" s="2">
        <f t="shared" si="60"/>
        <v>9.5218661486458061E-3</v>
      </c>
      <c r="CO23" s="2">
        <f t="shared" si="61"/>
        <v>2.6658100110333867E-4</v>
      </c>
    </row>
    <row r="24" spans="1:93" x14ac:dyDescent="0.25">
      <c r="A24" s="29">
        <v>48</v>
      </c>
      <c r="B24" t="s">
        <v>21</v>
      </c>
      <c r="C24">
        <v>40347</v>
      </c>
      <c r="D24">
        <v>6.0999999999999999E-2</v>
      </c>
      <c r="E24">
        <v>0.54</v>
      </c>
      <c r="F24">
        <v>200</v>
      </c>
      <c r="G24">
        <v>1900</v>
      </c>
      <c r="H24">
        <v>7700</v>
      </c>
      <c r="I24">
        <v>6200</v>
      </c>
      <c r="J24">
        <v>6100</v>
      </c>
      <c r="K24">
        <v>2400</v>
      </c>
      <c r="L24">
        <v>24500</v>
      </c>
      <c r="M24">
        <v>100</v>
      </c>
      <c r="N24">
        <v>1300</v>
      </c>
      <c r="O24">
        <v>4800</v>
      </c>
      <c r="P24">
        <v>3900</v>
      </c>
      <c r="Q24">
        <v>3600</v>
      </c>
      <c r="R24">
        <v>1500</v>
      </c>
      <c r="S24">
        <v>15300</v>
      </c>
      <c r="T24">
        <f t="shared" si="0"/>
        <v>39800</v>
      </c>
      <c r="U24" s="1">
        <f t="shared" si="1"/>
        <v>5.0251256281407036E-3</v>
      </c>
      <c r="V24" s="1">
        <f t="shared" si="7"/>
        <v>4.7738693467336682E-2</v>
      </c>
      <c r="W24" s="1">
        <f t="shared" si="8"/>
        <v>0.19346733668341709</v>
      </c>
      <c r="X24" s="1">
        <f t="shared" si="9"/>
        <v>0.15577889447236182</v>
      </c>
      <c r="Y24" s="1">
        <f t="shared" si="10"/>
        <v>0.15326633165829145</v>
      </c>
      <c r="Z24" s="1">
        <f t="shared" si="11"/>
        <v>6.030150753768844E-2</v>
      </c>
      <c r="AA24" s="1">
        <f t="shared" si="12"/>
        <v>0.61557788944723613</v>
      </c>
      <c r="AB24" s="1">
        <f t="shared" si="13"/>
        <v>2.5125628140703518E-3</v>
      </c>
      <c r="AC24" s="1">
        <f t="shared" si="14"/>
        <v>3.2663316582914576E-2</v>
      </c>
      <c r="AD24" s="1">
        <f t="shared" si="15"/>
        <v>0.12060301507537688</v>
      </c>
      <c r="AE24" s="1">
        <f t="shared" si="16"/>
        <v>9.7989949748743713E-2</v>
      </c>
      <c r="AF24" s="1">
        <f t="shared" si="17"/>
        <v>9.0452261306532666E-2</v>
      </c>
      <c r="AG24" s="1">
        <f t="shared" si="18"/>
        <v>3.7688442211055273E-2</v>
      </c>
      <c r="AH24" s="1">
        <f t="shared" si="19"/>
        <v>0.38442211055276382</v>
      </c>
      <c r="AI24" s="2">
        <f t="shared" si="20"/>
        <v>2.7135678391959801E-3</v>
      </c>
      <c r="AJ24" s="2">
        <f t="shared" si="21"/>
        <v>2.577889447236181E-2</v>
      </c>
      <c r="AK24" s="2">
        <f t="shared" si="22"/>
        <v>0.10447236180904523</v>
      </c>
      <c r="AL24" s="2">
        <f t="shared" si="23"/>
        <v>8.4120603015075388E-2</v>
      </c>
      <c r="AM24" s="2">
        <f t="shared" si="24"/>
        <v>8.2763819095477392E-2</v>
      </c>
      <c r="AN24" s="2">
        <f t="shared" si="25"/>
        <v>3.2562814070351762E-2</v>
      </c>
      <c r="AO24" s="2">
        <f t="shared" si="26"/>
        <v>0.33241206030150755</v>
      </c>
      <c r="AP24" s="2">
        <f t="shared" si="27"/>
        <v>1.3567839195979901E-3</v>
      </c>
      <c r="AQ24" s="2">
        <f t="shared" si="28"/>
        <v>1.7638190954773873E-2</v>
      </c>
      <c r="AR24" s="2">
        <f t="shared" si="29"/>
        <v>6.5125628140703523E-2</v>
      </c>
      <c r="AS24" s="2">
        <f t="shared" si="30"/>
        <v>5.2914572864321607E-2</v>
      </c>
      <c r="AT24" s="2">
        <f t="shared" si="31"/>
        <v>4.8844221105527642E-2</v>
      </c>
      <c r="AU24" s="2">
        <f t="shared" si="32"/>
        <v>2.0351758793969849E-2</v>
      </c>
      <c r="AV24" s="2">
        <f t="shared" si="33"/>
        <v>0.20758793969849249</v>
      </c>
      <c r="AW24">
        <v>3925300</v>
      </c>
      <c r="AX24" s="33">
        <v>8781027000</v>
      </c>
      <c r="AY24" s="33">
        <f t="shared" si="34"/>
        <v>4659804000</v>
      </c>
      <c r="AZ24">
        <v>7126147000</v>
      </c>
      <c r="BA24">
        <v>727415000</v>
      </c>
      <c r="BB24">
        <v>1611800000</v>
      </c>
      <c r="BC24">
        <v>147382000</v>
      </c>
      <c r="BD24">
        <v>128317000</v>
      </c>
      <c r="BE24">
        <v>2466343000</v>
      </c>
      <c r="BF24">
        <v>1664031000</v>
      </c>
      <c r="BG24">
        <v>241725000</v>
      </c>
      <c r="BH24">
        <v>118654000</v>
      </c>
      <c r="BI24">
        <v>20480000</v>
      </c>
      <c r="BJ24">
        <v>772482000</v>
      </c>
      <c r="BK24">
        <v>463561000</v>
      </c>
      <c r="BL24">
        <v>882398000</v>
      </c>
      <c r="BM24">
        <v>221076000</v>
      </c>
      <c r="BN24" s="1">
        <f t="shared" si="4"/>
        <v>0.81153912862356536</v>
      </c>
      <c r="BO24" s="1">
        <f t="shared" si="35"/>
        <v>8.2839399081679171E-2</v>
      </c>
      <c r="BP24" s="1">
        <f t="shared" si="36"/>
        <v>0.18355483931435354</v>
      </c>
      <c r="BQ24" s="1">
        <f t="shared" si="37"/>
        <v>1.678414153606406E-2</v>
      </c>
      <c r="BR24" s="1">
        <f t="shared" si="38"/>
        <v>1.4612983196612424E-2</v>
      </c>
      <c r="BS24" s="1">
        <f t="shared" si="39"/>
        <v>0.28087181601878686</v>
      </c>
      <c r="BT24" s="1">
        <f t="shared" si="40"/>
        <v>0.18950300460299233</v>
      </c>
      <c r="BU24" s="1">
        <f t="shared" si="41"/>
        <v>2.7528101211851414E-2</v>
      </c>
      <c r="BV24" s="1">
        <f t="shared" si="42"/>
        <v>1.3512542439511915E-2</v>
      </c>
      <c r="BW24" s="1">
        <f t="shared" si="43"/>
        <v>2.3323012217135878E-3</v>
      </c>
      <c r="BX24" s="1">
        <f t="shared" si="44"/>
        <v>8.7971714470300569E-2</v>
      </c>
      <c r="BY24" s="1">
        <f t="shared" si="45"/>
        <v>5.2791205402283811E-2</v>
      </c>
      <c r="BZ24" s="1">
        <f t="shared" si="46"/>
        <v>0.10048915690613409</v>
      </c>
      <c r="CA24" s="1">
        <f t="shared" si="47"/>
        <v>2.5176553949782868E-2</v>
      </c>
      <c r="CB24" s="2">
        <f t="shared" si="48"/>
        <v>0.43823112945672532</v>
      </c>
      <c r="CC24" s="2">
        <f t="shared" si="49"/>
        <v>4.4733275504106752E-2</v>
      </c>
      <c r="CD24" s="2">
        <f t="shared" si="50"/>
        <v>9.9119613229750922E-2</v>
      </c>
      <c r="CE24" s="2">
        <f t="shared" si="51"/>
        <v>9.0634364294745924E-3</v>
      </c>
      <c r="CF24" s="2">
        <f t="shared" si="52"/>
        <v>7.89101092617071E-3</v>
      </c>
      <c r="CG24" s="2">
        <f t="shared" si="53"/>
        <v>0.15167078065014492</v>
      </c>
      <c r="CH24" s="2">
        <f t="shared" si="54"/>
        <v>0.10233162248561586</v>
      </c>
      <c r="CI24" s="2">
        <f t="shared" si="55"/>
        <v>1.4865174654399765E-2</v>
      </c>
      <c r="CJ24" s="2">
        <f t="shared" si="56"/>
        <v>7.2967729173364351E-3</v>
      </c>
      <c r="CK24" s="2">
        <f t="shared" si="57"/>
        <v>1.2594426597253375E-3</v>
      </c>
      <c r="CL24" s="2">
        <f t="shared" si="58"/>
        <v>4.7504725813962312E-2</v>
      </c>
      <c r="CM24" s="2">
        <f t="shared" si="59"/>
        <v>2.8507250917233259E-2</v>
      </c>
      <c r="CN24" s="2">
        <f t="shared" si="60"/>
        <v>5.4264144729312416E-2</v>
      </c>
      <c r="CO24" s="2">
        <f t="shared" si="61"/>
        <v>1.359533913288275E-2</v>
      </c>
    </row>
    <row r="25" spans="1:93" x14ac:dyDescent="0.25">
      <c r="A25" s="29">
        <v>5</v>
      </c>
      <c r="B25" t="s">
        <v>22</v>
      </c>
      <c r="C25">
        <v>54018</v>
      </c>
      <c r="D25">
        <v>8.2000000000000003E-2</v>
      </c>
      <c r="E25">
        <v>0.09</v>
      </c>
      <c r="F25">
        <v>0</v>
      </c>
      <c r="G25">
        <v>100</v>
      </c>
      <c r="H25">
        <v>1900</v>
      </c>
      <c r="I25">
        <v>6600</v>
      </c>
      <c r="J25">
        <v>12600</v>
      </c>
      <c r="K25">
        <v>11300</v>
      </c>
      <c r="L25">
        <v>32600</v>
      </c>
      <c r="M25">
        <v>0</v>
      </c>
      <c r="N25">
        <v>200</v>
      </c>
      <c r="O25">
        <v>1900</v>
      </c>
      <c r="P25">
        <v>4800</v>
      </c>
      <c r="Q25">
        <v>6500</v>
      </c>
      <c r="R25">
        <v>6300</v>
      </c>
      <c r="S25">
        <v>19700</v>
      </c>
      <c r="T25">
        <f t="shared" si="0"/>
        <v>52300</v>
      </c>
      <c r="U25" s="1">
        <f t="shared" si="1"/>
        <v>0</v>
      </c>
      <c r="V25" s="1">
        <f t="shared" si="7"/>
        <v>1.9120458891013384E-3</v>
      </c>
      <c r="W25" s="1">
        <f t="shared" si="8"/>
        <v>3.6328871892925434E-2</v>
      </c>
      <c r="X25" s="1">
        <f t="shared" si="9"/>
        <v>0.12619502868068833</v>
      </c>
      <c r="Y25" s="1">
        <f t="shared" si="10"/>
        <v>0.24091778202676864</v>
      </c>
      <c r="Z25" s="1">
        <f t="shared" si="11"/>
        <v>0.21606118546845124</v>
      </c>
      <c r="AA25" s="1">
        <f t="shared" si="12"/>
        <v>0.62332695984703634</v>
      </c>
      <c r="AB25" s="1">
        <f t="shared" si="13"/>
        <v>0</v>
      </c>
      <c r="AC25" s="1">
        <f t="shared" si="14"/>
        <v>3.8240917782026767E-3</v>
      </c>
      <c r="AD25" s="1">
        <f t="shared" si="15"/>
        <v>3.6328871892925434E-2</v>
      </c>
      <c r="AE25" s="1">
        <f t="shared" si="16"/>
        <v>9.1778202676864248E-2</v>
      </c>
      <c r="AF25" s="1">
        <f t="shared" si="17"/>
        <v>0.124282982791587</v>
      </c>
      <c r="AG25" s="1">
        <f t="shared" si="18"/>
        <v>0.12045889101338432</v>
      </c>
      <c r="AH25" s="1">
        <f t="shared" si="19"/>
        <v>0.37667304015296366</v>
      </c>
      <c r="AI25" s="2">
        <f t="shared" si="20"/>
        <v>0</v>
      </c>
      <c r="AJ25" s="2">
        <f t="shared" si="21"/>
        <v>1.7208413001912044E-4</v>
      </c>
      <c r="AK25" s="2">
        <f t="shared" si="22"/>
        <v>3.269598470363289E-3</v>
      </c>
      <c r="AL25" s="2">
        <f t="shared" si="23"/>
        <v>1.1357552581261948E-2</v>
      </c>
      <c r="AM25" s="2">
        <f t="shared" si="24"/>
        <v>2.1682600382409177E-2</v>
      </c>
      <c r="AN25" s="2">
        <f t="shared" si="25"/>
        <v>1.9445506692160611E-2</v>
      </c>
      <c r="AO25" s="2">
        <f t="shared" si="26"/>
        <v>5.6099426386233268E-2</v>
      </c>
      <c r="AP25" s="2">
        <f t="shared" si="27"/>
        <v>0</v>
      </c>
      <c r="AQ25" s="2">
        <f t="shared" si="28"/>
        <v>3.4416826003824089E-4</v>
      </c>
      <c r="AR25" s="2">
        <f t="shared" si="29"/>
        <v>3.269598470363289E-3</v>
      </c>
      <c r="AS25" s="2">
        <f t="shared" si="30"/>
        <v>8.2600382409177813E-3</v>
      </c>
      <c r="AT25" s="2">
        <f t="shared" si="31"/>
        <v>1.118546845124283E-2</v>
      </c>
      <c r="AU25" s="2">
        <f t="shared" si="32"/>
        <v>1.0841300191204589E-2</v>
      </c>
      <c r="AV25" s="2">
        <f t="shared" si="33"/>
        <v>3.3900573613766728E-2</v>
      </c>
      <c r="AW25">
        <v>500400</v>
      </c>
      <c r="AX25" s="33">
        <v>779707000</v>
      </c>
      <c r="AY25" s="33">
        <f t="shared" si="34"/>
        <v>222670000</v>
      </c>
      <c r="AZ25">
        <v>403118000</v>
      </c>
      <c r="BA25">
        <v>47947000</v>
      </c>
      <c r="BB25">
        <v>35209000</v>
      </c>
      <c r="BC25">
        <v>18803000</v>
      </c>
      <c r="BD25">
        <v>26088000</v>
      </c>
      <c r="BE25">
        <v>180448000</v>
      </c>
      <c r="BF25">
        <v>39855000</v>
      </c>
      <c r="BG25">
        <v>7545000</v>
      </c>
      <c r="BH25">
        <v>46789000</v>
      </c>
      <c r="BI25">
        <v>434000</v>
      </c>
      <c r="BJ25">
        <v>245945000</v>
      </c>
      <c r="BK25">
        <v>174164000</v>
      </c>
      <c r="BL25">
        <v>130643000</v>
      </c>
      <c r="BM25">
        <v>35188000</v>
      </c>
      <c r="BN25" s="1">
        <f t="shared" si="4"/>
        <v>0.51701215969588576</v>
      </c>
      <c r="BO25" s="1">
        <f t="shared" si="35"/>
        <v>6.1493612344124142E-2</v>
      </c>
      <c r="BP25" s="1">
        <f t="shared" si="36"/>
        <v>4.5156706301213149E-2</v>
      </c>
      <c r="BQ25" s="1">
        <f t="shared" si="37"/>
        <v>2.4115469015925213E-2</v>
      </c>
      <c r="BR25" s="1">
        <f t="shared" si="38"/>
        <v>3.3458722314920863E-2</v>
      </c>
      <c r="BS25" s="1">
        <f t="shared" si="39"/>
        <v>0.23143052454319379</v>
      </c>
      <c r="BT25" s="1">
        <f t="shared" si="40"/>
        <v>5.1115354870483402E-2</v>
      </c>
      <c r="BU25" s="1">
        <f t="shared" si="41"/>
        <v>9.6767118930572646E-3</v>
      </c>
      <c r="BV25" s="1">
        <f t="shared" si="42"/>
        <v>6.0008439067495867E-2</v>
      </c>
      <c r="BW25" s="1">
        <f t="shared" si="43"/>
        <v>5.5661934547208123E-4</v>
      </c>
      <c r="BX25" s="1">
        <f t="shared" si="44"/>
        <v>0.315432591986477</v>
      </c>
      <c r="BY25" s="1">
        <f t="shared" si="45"/>
        <v>0.22337108683133536</v>
      </c>
      <c r="BZ25" s="1">
        <f t="shared" si="46"/>
        <v>0.16755396578458318</v>
      </c>
      <c r="CA25" s="1">
        <f t="shared" si="47"/>
        <v>4.5129773107077401E-2</v>
      </c>
      <c r="CB25" s="2">
        <f t="shared" si="48"/>
        <v>4.6531094372629714E-2</v>
      </c>
      <c r="CC25" s="2">
        <f t="shared" si="49"/>
        <v>5.5344251109711723E-3</v>
      </c>
      <c r="CD25" s="2">
        <f t="shared" si="50"/>
        <v>4.0641035671091837E-3</v>
      </c>
      <c r="CE25" s="2">
        <f t="shared" si="51"/>
        <v>2.1703922114332691E-3</v>
      </c>
      <c r="CF25" s="2">
        <f t="shared" si="52"/>
        <v>3.0112850083428774E-3</v>
      </c>
      <c r="CG25" s="2">
        <f t="shared" si="53"/>
        <v>2.082874720888744E-2</v>
      </c>
      <c r="CH25" s="2">
        <f t="shared" si="54"/>
        <v>4.6003819383435059E-3</v>
      </c>
      <c r="CI25" s="2">
        <f t="shared" si="55"/>
        <v>8.7090407037515377E-4</v>
      </c>
      <c r="CJ25" s="2">
        <f t="shared" si="56"/>
        <v>5.4007595160746281E-3</v>
      </c>
      <c r="CK25" s="2">
        <f t="shared" si="57"/>
        <v>5.0095741092487312E-5</v>
      </c>
      <c r="CL25" s="2">
        <f t="shared" si="58"/>
        <v>2.8388933278782929E-2</v>
      </c>
      <c r="CM25" s="2">
        <f t="shared" si="59"/>
        <v>2.0103397814820182E-2</v>
      </c>
      <c r="CN25" s="2">
        <f t="shared" si="60"/>
        <v>1.5079856920612485E-2</v>
      </c>
      <c r="CO25" s="2">
        <f t="shared" si="61"/>
        <v>4.0616795796369655E-3</v>
      </c>
    </row>
    <row r="26" spans="1:93" x14ac:dyDescent="0.25">
      <c r="A26" s="29">
        <v>11</v>
      </c>
      <c r="B26" t="s">
        <v>23</v>
      </c>
      <c r="C26">
        <v>934542</v>
      </c>
      <c r="D26">
        <v>1.4</v>
      </c>
      <c r="E26">
        <v>0.95</v>
      </c>
      <c r="F26">
        <v>9200</v>
      </c>
      <c r="G26">
        <v>33600</v>
      </c>
      <c r="H26">
        <v>125900</v>
      </c>
      <c r="I26">
        <v>166400</v>
      </c>
      <c r="J26">
        <v>288700</v>
      </c>
      <c r="K26">
        <v>422800</v>
      </c>
      <c r="L26">
        <v>1046800</v>
      </c>
      <c r="M26">
        <v>7500</v>
      </c>
      <c r="N26">
        <v>49100</v>
      </c>
      <c r="O26">
        <v>191600</v>
      </c>
      <c r="P26">
        <v>175400</v>
      </c>
      <c r="Q26">
        <v>251600</v>
      </c>
      <c r="R26">
        <v>442500</v>
      </c>
      <c r="S26">
        <v>1117500</v>
      </c>
      <c r="T26">
        <f t="shared" si="0"/>
        <v>2164300</v>
      </c>
      <c r="U26" s="1">
        <f t="shared" si="1"/>
        <v>4.2507970244420826E-3</v>
      </c>
      <c r="V26" s="1">
        <f t="shared" si="7"/>
        <v>1.5524650002310215E-2</v>
      </c>
      <c r="W26" s="1">
        <f t="shared" si="8"/>
        <v>5.8171233193180245E-2</v>
      </c>
      <c r="X26" s="1">
        <f t="shared" si="9"/>
        <v>7.6883980963822027E-2</v>
      </c>
      <c r="Y26" s="1">
        <f t="shared" si="10"/>
        <v>0.13339185879961188</v>
      </c>
      <c r="Z26" s="1">
        <f t="shared" si="11"/>
        <v>0.19535184586240356</v>
      </c>
      <c r="AA26" s="1">
        <f t="shared" si="12"/>
        <v>0.48366677447673612</v>
      </c>
      <c r="AB26" s="1">
        <f t="shared" si="13"/>
        <v>3.465323661229959E-3</v>
      </c>
      <c r="AC26" s="1">
        <f t="shared" si="14"/>
        <v>2.2686318902185466E-2</v>
      </c>
      <c r="AD26" s="1">
        <f t="shared" si="15"/>
        <v>8.8527468465554676E-2</v>
      </c>
      <c r="AE26" s="1">
        <f t="shared" si="16"/>
        <v>8.1042369357297972E-2</v>
      </c>
      <c r="AF26" s="1">
        <f t="shared" si="17"/>
        <v>0.11625005775539435</v>
      </c>
      <c r="AG26" s="1">
        <f t="shared" si="18"/>
        <v>0.20445409601256759</v>
      </c>
      <c r="AH26" s="1">
        <f t="shared" si="19"/>
        <v>0.51633322552326388</v>
      </c>
      <c r="AI26" s="2">
        <f t="shared" si="20"/>
        <v>4.0382571732199782E-3</v>
      </c>
      <c r="AJ26" s="2">
        <f t="shared" si="21"/>
        <v>1.4748417502194704E-2</v>
      </c>
      <c r="AK26" s="2">
        <f t="shared" si="22"/>
        <v>5.5262671533521233E-2</v>
      </c>
      <c r="AL26" s="2">
        <f t="shared" si="23"/>
        <v>7.3039781915630916E-2</v>
      </c>
      <c r="AM26" s="2">
        <f t="shared" si="24"/>
        <v>0.12672226585963128</v>
      </c>
      <c r="AN26" s="2">
        <f t="shared" si="25"/>
        <v>0.18558425356928338</v>
      </c>
      <c r="AO26" s="2">
        <f t="shared" si="26"/>
        <v>0.45948343575289929</v>
      </c>
      <c r="AP26" s="2">
        <f t="shared" si="27"/>
        <v>3.2920574781684607E-3</v>
      </c>
      <c r="AQ26" s="2">
        <f t="shared" si="28"/>
        <v>2.155200295707619E-2</v>
      </c>
      <c r="AR26" s="2">
        <f t="shared" si="29"/>
        <v>8.4101095042276933E-2</v>
      </c>
      <c r="AS26" s="2">
        <f t="shared" si="30"/>
        <v>7.6990250889433065E-2</v>
      </c>
      <c r="AT26" s="2">
        <f t="shared" si="31"/>
        <v>0.11043755486762463</v>
      </c>
      <c r="AU26" s="2">
        <f t="shared" si="32"/>
        <v>0.19423139121193919</v>
      </c>
      <c r="AV26" s="2">
        <f t="shared" si="33"/>
        <v>0.49051656424710066</v>
      </c>
      <c r="AW26">
        <v>492100</v>
      </c>
      <c r="AX26" s="33">
        <v>549522000</v>
      </c>
      <c r="AY26" s="33">
        <f t="shared" si="34"/>
        <v>240007000</v>
      </c>
      <c r="AZ26">
        <v>347282000</v>
      </c>
      <c r="BA26">
        <v>96653000</v>
      </c>
      <c r="BB26">
        <v>19386000</v>
      </c>
      <c r="BC26">
        <v>44948000</v>
      </c>
      <c r="BD26">
        <v>15779000</v>
      </c>
      <c r="BE26">
        <v>107275000</v>
      </c>
      <c r="BF26">
        <v>21667000</v>
      </c>
      <c r="BG26">
        <v>18878000</v>
      </c>
      <c r="BH26">
        <v>17533000</v>
      </c>
      <c r="BI26">
        <v>5163000</v>
      </c>
      <c r="BJ26">
        <v>61324000</v>
      </c>
      <c r="BK26">
        <v>16471000</v>
      </c>
      <c r="BL26">
        <v>140916000</v>
      </c>
      <c r="BM26">
        <v>20394000</v>
      </c>
      <c r="BN26" s="1">
        <f t="shared" si="4"/>
        <v>0.63197105848355484</v>
      </c>
      <c r="BO26" s="1">
        <f t="shared" si="35"/>
        <v>0.17588558783815753</v>
      </c>
      <c r="BP26" s="1">
        <f t="shared" si="36"/>
        <v>3.5277932457663204E-2</v>
      </c>
      <c r="BQ26" s="1">
        <f t="shared" si="37"/>
        <v>8.1794723414167228E-2</v>
      </c>
      <c r="BR26" s="1">
        <f t="shared" si="38"/>
        <v>2.871404602545485E-2</v>
      </c>
      <c r="BS26" s="1">
        <f t="shared" si="39"/>
        <v>0.19521511422654597</v>
      </c>
      <c r="BT26" s="1">
        <f t="shared" si="40"/>
        <v>3.9428812677199457E-2</v>
      </c>
      <c r="BU26" s="1">
        <f t="shared" si="41"/>
        <v>3.4353492671812959E-2</v>
      </c>
      <c r="BV26" s="1">
        <f t="shared" si="42"/>
        <v>3.1905910955339366E-2</v>
      </c>
      <c r="BW26" s="1">
        <f t="shared" si="43"/>
        <v>9.3954382172142335E-3</v>
      </c>
      <c r="BX26" s="1">
        <f t="shared" si="44"/>
        <v>0.1115951681643319</v>
      </c>
      <c r="BY26" s="1">
        <f t="shared" si="45"/>
        <v>2.9973322269172115E-2</v>
      </c>
      <c r="BZ26" s="1">
        <f t="shared" si="46"/>
        <v>0.25643377335211331</v>
      </c>
      <c r="CA26" s="1">
        <f t="shared" si="47"/>
        <v>3.7112253922499921E-2</v>
      </c>
      <c r="CB26" s="2">
        <f t="shared" si="48"/>
        <v>0.60037250555937705</v>
      </c>
      <c r="CC26" s="2">
        <f t="shared" si="49"/>
        <v>0.16709130844624964</v>
      </c>
      <c r="CD26" s="2">
        <f t="shared" si="50"/>
        <v>3.3514035834780041E-2</v>
      </c>
      <c r="CE26" s="2">
        <f t="shared" si="51"/>
        <v>7.7704987243458867E-2</v>
      </c>
      <c r="CF26" s="2">
        <f t="shared" si="52"/>
        <v>2.7278343724182107E-2</v>
      </c>
      <c r="CG26" s="2">
        <f t="shared" si="53"/>
        <v>0.18545435851521866</v>
      </c>
      <c r="CH26" s="2">
        <f t="shared" si="54"/>
        <v>3.7457372043339481E-2</v>
      </c>
      <c r="CI26" s="2">
        <f t="shared" si="55"/>
        <v>3.2635818038222311E-2</v>
      </c>
      <c r="CJ26" s="2">
        <f t="shared" si="56"/>
        <v>3.0310615407572395E-2</v>
      </c>
      <c r="CK26" s="2">
        <f t="shared" si="57"/>
        <v>8.9256663063535212E-3</v>
      </c>
      <c r="CL26" s="2">
        <f t="shared" si="58"/>
        <v>0.1060154097561153</v>
      </c>
      <c r="CM26" s="2">
        <f t="shared" si="59"/>
        <v>2.8474656155713509E-2</v>
      </c>
      <c r="CN26" s="2">
        <f t="shared" si="60"/>
        <v>0.24361208468450762</v>
      </c>
      <c r="CO26" s="2">
        <f t="shared" si="61"/>
        <v>3.5256641226374924E-2</v>
      </c>
    </row>
    <row r="27" spans="1:93" x14ac:dyDescent="0.25">
      <c r="A27" s="29">
        <v>9</v>
      </c>
      <c r="B27" t="s">
        <v>24</v>
      </c>
      <c r="C27">
        <v>314726</v>
      </c>
      <c r="D27">
        <v>0.99</v>
      </c>
      <c r="E27">
        <v>0.95</v>
      </c>
      <c r="F27">
        <v>0</v>
      </c>
      <c r="G27">
        <v>100</v>
      </c>
      <c r="H27">
        <v>2000</v>
      </c>
      <c r="I27">
        <v>29600</v>
      </c>
      <c r="J27">
        <v>112400</v>
      </c>
      <c r="K27">
        <v>167000</v>
      </c>
      <c r="L27">
        <v>311000</v>
      </c>
      <c r="M27">
        <v>0</v>
      </c>
      <c r="N27">
        <v>0</v>
      </c>
      <c r="O27">
        <v>0</v>
      </c>
      <c r="P27">
        <v>0</v>
      </c>
      <c r="Q27">
        <v>0</v>
      </c>
      <c r="R27">
        <v>0</v>
      </c>
      <c r="S27">
        <v>0</v>
      </c>
      <c r="T27">
        <f t="shared" si="0"/>
        <v>311000</v>
      </c>
      <c r="U27" s="1">
        <f t="shared" si="1"/>
        <v>0</v>
      </c>
      <c r="V27" s="1">
        <f t="shared" si="7"/>
        <v>3.2154340836012862E-4</v>
      </c>
      <c r="W27" s="1">
        <f t="shared" si="8"/>
        <v>6.4308681672025723E-3</v>
      </c>
      <c r="X27" s="1">
        <f t="shared" si="9"/>
        <v>9.5176848874598069E-2</v>
      </c>
      <c r="Y27" s="1">
        <f t="shared" si="10"/>
        <v>0.36141479099678459</v>
      </c>
      <c r="Z27" s="1">
        <f t="shared" si="11"/>
        <v>0.53697749196141475</v>
      </c>
      <c r="AA27" s="1">
        <f t="shared" si="12"/>
        <v>1</v>
      </c>
      <c r="AB27" s="1">
        <f t="shared" si="13"/>
        <v>0</v>
      </c>
      <c r="AC27" s="1">
        <f t="shared" si="14"/>
        <v>0</v>
      </c>
      <c r="AD27" s="1">
        <f t="shared" si="15"/>
        <v>0</v>
      </c>
      <c r="AE27" s="1">
        <f t="shared" si="16"/>
        <v>0</v>
      </c>
      <c r="AF27" s="1">
        <f t="shared" si="17"/>
        <v>0</v>
      </c>
      <c r="AG27" s="1">
        <f t="shared" si="18"/>
        <v>0</v>
      </c>
      <c r="AH27" s="1">
        <f t="shared" si="19"/>
        <v>0</v>
      </c>
      <c r="AI27" s="2">
        <f t="shared" si="20"/>
        <v>0</v>
      </c>
      <c r="AJ27" s="2">
        <f t="shared" si="21"/>
        <v>3.0546623794212217E-4</v>
      </c>
      <c r="AK27" s="2">
        <f t="shared" si="22"/>
        <v>6.1093247588424431E-3</v>
      </c>
      <c r="AL27" s="2">
        <f t="shared" si="23"/>
        <v>9.0418006430868156E-2</v>
      </c>
      <c r="AM27" s="2">
        <f t="shared" si="24"/>
        <v>0.34334405144694535</v>
      </c>
      <c r="AN27" s="2">
        <f t="shared" si="25"/>
        <v>0.51012861736334403</v>
      </c>
      <c r="AO27" s="2">
        <f t="shared" si="26"/>
        <v>0.95</v>
      </c>
      <c r="AP27" s="2">
        <f t="shared" si="27"/>
        <v>0</v>
      </c>
      <c r="AQ27" s="2">
        <f t="shared" si="28"/>
        <v>0</v>
      </c>
      <c r="AR27" s="2">
        <f t="shared" si="29"/>
        <v>0</v>
      </c>
      <c r="AS27" s="2">
        <f t="shared" si="30"/>
        <v>0</v>
      </c>
      <c r="AT27" s="2">
        <f t="shared" si="31"/>
        <v>0</v>
      </c>
      <c r="AU27" s="2">
        <f t="shared" si="32"/>
        <v>0</v>
      </c>
      <c r="AV27" s="2">
        <f t="shared" si="33"/>
        <v>0</v>
      </c>
      <c r="AW27">
        <v>54400</v>
      </c>
      <c r="AX27" s="33">
        <v>579479000</v>
      </c>
      <c r="AY27" s="33">
        <f t="shared" si="34"/>
        <v>27208000</v>
      </c>
      <c r="AZ27">
        <v>495429000</v>
      </c>
      <c r="BA27">
        <v>6224000</v>
      </c>
      <c r="BB27">
        <v>6230000</v>
      </c>
      <c r="BC27">
        <v>1511000</v>
      </c>
      <c r="BD27">
        <v>1655000</v>
      </c>
      <c r="BE27">
        <v>468221000</v>
      </c>
      <c r="BF27">
        <v>4779000</v>
      </c>
      <c r="BG27">
        <v>3745000</v>
      </c>
      <c r="BH27">
        <v>2811000</v>
      </c>
      <c r="BI27">
        <v>253000</v>
      </c>
      <c r="BJ27">
        <v>70634000</v>
      </c>
      <c r="BK27">
        <v>63004000</v>
      </c>
      <c r="BL27">
        <v>13416000</v>
      </c>
      <c r="BM27">
        <v>6197000</v>
      </c>
      <c r="BN27" s="1">
        <f t="shared" si="4"/>
        <v>0.8549559172981247</v>
      </c>
      <c r="BO27" s="1">
        <f t="shared" si="35"/>
        <v>1.0740682578661176E-2</v>
      </c>
      <c r="BP27" s="1">
        <f t="shared" si="36"/>
        <v>1.0751036707111044E-2</v>
      </c>
      <c r="BQ27" s="1">
        <f t="shared" si="37"/>
        <v>2.6075146812912977E-3</v>
      </c>
      <c r="BR27" s="1">
        <f t="shared" si="38"/>
        <v>2.8560137640880859E-3</v>
      </c>
      <c r="BS27" s="1">
        <f t="shared" si="39"/>
        <v>0.80800339615413153</v>
      </c>
      <c r="BT27" s="1">
        <f t="shared" si="40"/>
        <v>8.247063310318407E-3</v>
      </c>
      <c r="BU27" s="1">
        <f t="shared" si="41"/>
        <v>6.4627018407914698E-3</v>
      </c>
      <c r="BV27" s="1">
        <f t="shared" si="42"/>
        <v>4.8509091787623023E-3</v>
      </c>
      <c r="BW27" s="1">
        <f t="shared" si="43"/>
        <v>4.3659908296935694E-4</v>
      </c>
      <c r="BX27" s="1">
        <f t="shared" si="44"/>
        <v>0.12189225148797454</v>
      </c>
      <c r="BY27" s="1">
        <f t="shared" si="45"/>
        <v>0.10872525147589472</v>
      </c>
      <c r="BZ27" s="1">
        <f t="shared" si="46"/>
        <v>2.3151831213900763E-2</v>
      </c>
      <c r="CA27" s="1">
        <f t="shared" si="47"/>
        <v>1.0694089000636779E-2</v>
      </c>
      <c r="CB27" s="2">
        <f t="shared" si="48"/>
        <v>0.81220812143321841</v>
      </c>
      <c r="CC27" s="2">
        <f t="shared" si="49"/>
        <v>1.0203648449728117E-2</v>
      </c>
      <c r="CD27" s="2">
        <f t="shared" si="50"/>
        <v>1.0213484871755491E-2</v>
      </c>
      <c r="CE27" s="2">
        <f t="shared" si="51"/>
        <v>2.4771389472267326E-3</v>
      </c>
      <c r="CF27" s="2">
        <f t="shared" si="52"/>
        <v>2.7132130758836816E-3</v>
      </c>
      <c r="CG27" s="2">
        <f t="shared" si="53"/>
        <v>0.76760322634642486</v>
      </c>
      <c r="CH27" s="2">
        <f t="shared" si="54"/>
        <v>7.8347101448024859E-3</v>
      </c>
      <c r="CI27" s="2">
        <f t="shared" si="55"/>
        <v>6.1395667487518964E-3</v>
      </c>
      <c r="CJ27" s="2">
        <f t="shared" si="56"/>
        <v>4.6083637198241871E-3</v>
      </c>
      <c r="CK27" s="2">
        <f t="shared" si="57"/>
        <v>4.1476912882088907E-4</v>
      </c>
      <c r="CL27" s="2">
        <f t="shared" si="58"/>
        <v>0.11579763891357581</v>
      </c>
      <c r="CM27" s="2">
        <f t="shared" si="59"/>
        <v>0.10328898890209998</v>
      </c>
      <c r="CN27" s="2">
        <f t="shared" si="60"/>
        <v>2.1994239653205724E-2</v>
      </c>
      <c r="CO27" s="2">
        <f t="shared" si="61"/>
        <v>1.0159384550604941E-2</v>
      </c>
    </row>
    <row r="28" spans="1:93" x14ac:dyDescent="0.25">
      <c r="A28" s="29">
        <v>1</v>
      </c>
      <c r="B28" t="s">
        <v>25</v>
      </c>
      <c r="C28">
        <v>151346</v>
      </c>
      <c r="D28">
        <v>0.23</v>
      </c>
      <c r="E28">
        <v>1.22</v>
      </c>
      <c r="F28">
        <v>600</v>
      </c>
      <c r="G28">
        <v>11900</v>
      </c>
      <c r="H28">
        <v>46600</v>
      </c>
      <c r="I28">
        <v>28100</v>
      </c>
      <c r="J28">
        <v>10400</v>
      </c>
      <c r="K28">
        <v>2900</v>
      </c>
      <c r="L28">
        <v>100600</v>
      </c>
      <c r="M28">
        <v>600</v>
      </c>
      <c r="N28">
        <v>6600</v>
      </c>
      <c r="O28">
        <v>28000</v>
      </c>
      <c r="P28">
        <v>10500</v>
      </c>
      <c r="Q28">
        <v>3400</v>
      </c>
      <c r="R28">
        <v>1200</v>
      </c>
      <c r="S28">
        <v>50200</v>
      </c>
      <c r="T28">
        <f t="shared" si="0"/>
        <v>150800</v>
      </c>
      <c r="U28" s="1">
        <f t="shared" si="1"/>
        <v>3.9787798408488064E-3</v>
      </c>
      <c r="V28" s="1">
        <f t="shared" si="7"/>
        <v>7.8912466843501325E-2</v>
      </c>
      <c r="W28" s="1">
        <f t="shared" si="8"/>
        <v>0.30901856763925728</v>
      </c>
      <c r="X28" s="1">
        <f t="shared" si="9"/>
        <v>0.18633952254641911</v>
      </c>
      <c r="Y28" s="1">
        <f t="shared" si="10"/>
        <v>6.8965517241379309E-2</v>
      </c>
      <c r="Z28" s="1">
        <f t="shared" si="11"/>
        <v>1.9230769230769232E-2</v>
      </c>
      <c r="AA28" s="1">
        <f t="shared" si="12"/>
        <v>0.66710875331564989</v>
      </c>
      <c r="AB28" s="1">
        <f t="shared" si="13"/>
        <v>3.9787798408488064E-3</v>
      </c>
      <c r="AC28" s="1">
        <f t="shared" si="14"/>
        <v>4.3766578249336871E-2</v>
      </c>
      <c r="AD28" s="1">
        <f t="shared" si="15"/>
        <v>0.1856763925729443</v>
      </c>
      <c r="AE28" s="1">
        <f t="shared" si="16"/>
        <v>6.9628647214854109E-2</v>
      </c>
      <c r="AF28" s="1">
        <f t="shared" si="17"/>
        <v>2.2546419098143235E-2</v>
      </c>
      <c r="AG28" s="1">
        <f t="shared" si="18"/>
        <v>7.9575596816976128E-3</v>
      </c>
      <c r="AH28" s="1">
        <f t="shared" si="19"/>
        <v>0.33289124668435011</v>
      </c>
      <c r="AI28" s="2">
        <f t="shared" si="20"/>
        <v>4.8541114058355435E-3</v>
      </c>
      <c r="AJ28" s="2">
        <f t="shared" si="21"/>
        <v>9.627320954907162E-2</v>
      </c>
      <c r="AK28" s="2">
        <f t="shared" si="22"/>
        <v>0.3770026525198939</v>
      </c>
      <c r="AL28" s="2">
        <f t="shared" si="23"/>
        <v>0.22733421750663133</v>
      </c>
      <c r="AM28" s="2">
        <f t="shared" si="24"/>
        <v>8.4137931034482749E-2</v>
      </c>
      <c r="AN28" s="2">
        <f t="shared" si="25"/>
        <v>2.3461538461538461E-2</v>
      </c>
      <c r="AO28" s="2">
        <f t="shared" si="26"/>
        <v>0.81387267904509286</v>
      </c>
      <c r="AP28" s="2">
        <f t="shared" si="27"/>
        <v>4.8541114058355435E-3</v>
      </c>
      <c r="AQ28" s="2">
        <f t="shared" si="28"/>
        <v>5.3395225464190982E-2</v>
      </c>
      <c r="AR28" s="2">
        <f t="shared" si="29"/>
        <v>0.22652519893899203</v>
      </c>
      <c r="AS28" s="2">
        <f t="shared" si="30"/>
        <v>8.4946949602122013E-2</v>
      </c>
      <c r="AT28" s="2">
        <f t="shared" si="31"/>
        <v>2.7506631299734744E-2</v>
      </c>
      <c r="AU28" s="2">
        <f t="shared" si="32"/>
        <v>9.708222811671087E-3</v>
      </c>
      <c r="AV28" s="2">
        <f t="shared" si="33"/>
        <v>0.40612732095490711</v>
      </c>
      <c r="AW28">
        <v>121700</v>
      </c>
      <c r="AX28" s="33">
        <v>618532000</v>
      </c>
      <c r="AY28" s="33">
        <f t="shared" si="34"/>
        <v>66987000</v>
      </c>
      <c r="AZ28">
        <v>368144000</v>
      </c>
      <c r="BA28">
        <v>13593000</v>
      </c>
      <c r="BB28">
        <v>6227000</v>
      </c>
      <c r="BC28">
        <v>4626000</v>
      </c>
      <c r="BD28">
        <v>5429000</v>
      </c>
      <c r="BE28">
        <v>301157000</v>
      </c>
      <c r="BF28">
        <v>19756000</v>
      </c>
      <c r="BG28">
        <v>5626000</v>
      </c>
      <c r="BH28">
        <v>11275000</v>
      </c>
      <c r="BI28">
        <v>455000</v>
      </c>
      <c r="BJ28">
        <v>230441000</v>
      </c>
      <c r="BK28">
        <v>213039000</v>
      </c>
      <c r="BL28">
        <v>19947000</v>
      </c>
      <c r="BM28">
        <v>6874000</v>
      </c>
      <c r="BN28" s="1">
        <f t="shared" si="4"/>
        <v>0.59518990125005655</v>
      </c>
      <c r="BO28" s="1">
        <f t="shared" si="35"/>
        <v>2.1976227584021523E-2</v>
      </c>
      <c r="BP28" s="1">
        <f t="shared" si="36"/>
        <v>1.0067385357588613E-2</v>
      </c>
      <c r="BQ28" s="1">
        <f t="shared" si="37"/>
        <v>7.4789986613465432E-3</v>
      </c>
      <c r="BR28" s="1">
        <f t="shared" si="38"/>
        <v>8.7772338375379129E-3</v>
      </c>
      <c r="BS28" s="1">
        <f t="shared" si="39"/>
        <v>0.48688992647106377</v>
      </c>
      <c r="BT28" s="1">
        <f t="shared" si="40"/>
        <v>3.1940142143009574E-2</v>
      </c>
      <c r="BU28" s="1">
        <f t="shared" si="41"/>
        <v>9.0957298894802537E-3</v>
      </c>
      <c r="BV28" s="1">
        <f t="shared" si="42"/>
        <v>1.8228644597207581E-2</v>
      </c>
      <c r="BW28" s="1">
        <f t="shared" si="43"/>
        <v>7.3561270880083808E-4</v>
      </c>
      <c r="BX28" s="1">
        <f t="shared" si="44"/>
        <v>0.3725611609423603</v>
      </c>
      <c r="BY28" s="1">
        <f t="shared" si="45"/>
        <v>0.34442680411037746</v>
      </c>
      <c r="BZ28" s="1">
        <f t="shared" si="46"/>
        <v>3.2248937807583117E-2</v>
      </c>
      <c r="CA28" s="1">
        <f t="shared" si="47"/>
        <v>1.1113410462191123E-2</v>
      </c>
      <c r="CB28" s="2">
        <f t="shared" si="48"/>
        <v>0.72613167952506896</v>
      </c>
      <c r="CC28" s="2">
        <f t="shared" si="49"/>
        <v>2.6810997652506257E-2</v>
      </c>
      <c r="CD28" s="2">
        <f t="shared" si="50"/>
        <v>1.2282210136258107E-2</v>
      </c>
      <c r="CE28" s="2">
        <f t="shared" si="51"/>
        <v>9.1243783668427825E-3</v>
      </c>
      <c r="CF28" s="2">
        <f t="shared" si="52"/>
        <v>1.0708225281796253E-2</v>
      </c>
      <c r="CG28" s="2">
        <f t="shared" si="53"/>
        <v>0.59400571029469784</v>
      </c>
      <c r="CH28" s="2">
        <f t="shared" si="54"/>
        <v>3.8966973414471681E-2</v>
      </c>
      <c r="CI28" s="2">
        <f t="shared" si="55"/>
        <v>1.109679046516591E-2</v>
      </c>
      <c r="CJ28" s="2">
        <f t="shared" si="56"/>
        <v>2.2238946408593249E-2</v>
      </c>
      <c r="CK28" s="2">
        <f t="shared" si="57"/>
        <v>8.9744750473702247E-4</v>
      </c>
      <c r="CL28" s="2">
        <f t="shared" si="58"/>
        <v>0.45452461634967956</v>
      </c>
      <c r="CM28" s="2">
        <f t="shared" si="59"/>
        <v>0.4202007010146605</v>
      </c>
      <c r="CN28" s="2">
        <f t="shared" si="60"/>
        <v>3.93437041252514E-2</v>
      </c>
      <c r="CO28" s="2">
        <f t="shared" si="61"/>
        <v>1.355836076387317E-2</v>
      </c>
    </row>
    <row r="29" spans="1:93" x14ac:dyDescent="0.25">
      <c r="A29" s="29">
        <v>37</v>
      </c>
      <c r="B29" t="s">
        <v>26</v>
      </c>
      <c r="C29">
        <v>1785941</v>
      </c>
      <c r="D29">
        <v>2.7</v>
      </c>
      <c r="E29">
        <v>2.65</v>
      </c>
      <c r="F29">
        <v>4300</v>
      </c>
      <c r="G29">
        <v>16200</v>
      </c>
      <c r="H29">
        <v>62900</v>
      </c>
      <c r="I29">
        <v>120800</v>
      </c>
      <c r="J29">
        <v>273400</v>
      </c>
      <c r="K29">
        <v>563200</v>
      </c>
      <c r="L29">
        <v>1040800</v>
      </c>
      <c r="M29">
        <v>3500</v>
      </c>
      <c r="N29">
        <v>14900</v>
      </c>
      <c r="O29">
        <v>37900</v>
      </c>
      <c r="P29">
        <v>55500</v>
      </c>
      <c r="Q29">
        <v>143700</v>
      </c>
      <c r="R29">
        <v>601500</v>
      </c>
      <c r="S29">
        <v>857000</v>
      </c>
      <c r="T29">
        <f t="shared" si="0"/>
        <v>1897800</v>
      </c>
      <c r="U29" s="1">
        <f t="shared" si="1"/>
        <v>2.2657814311307831E-3</v>
      </c>
      <c r="V29" s="1">
        <f t="shared" si="7"/>
        <v>8.5361998103066702E-3</v>
      </c>
      <c r="W29" s="1">
        <f t="shared" si="8"/>
        <v>3.3143640004215408E-2</v>
      </c>
      <c r="X29" s="1">
        <f t="shared" si="9"/>
        <v>6.365265043734851E-2</v>
      </c>
      <c r="Y29" s="1">
        <f t="shared" si="10"/>
        <v>0.14406154494678047</v>
      </c>
      <c r="Z29" s="1">
        <f t="shared" si="11"/>
        <v>0.29676467488671093</v>
      </c>
      <c r="AA29" s="1">
        <f t="shared" si="12"/>
        <v>0.54842449151649275</v>
      </c>
      <c r="AB29" s="1">
        <f t="shared" si="13"/>
        <v>1.8442406997576141E-3</v>
      </c>
      <c r="AC29" s="1">
        <f t="shared" si="14"/>
        <v>7.8511961218252716E-3</v>
      </c>
      <c r="AD29" s="1">
        <f t="shared" si="15"/>
        <v>1.9970492148803878E-2</v>
      </c>
      <c r="AE29" s="1">
        <f t="shared" si="16"/>
        <v>2.9244388239013593E-2</v>
      </c>
      <c r="AF29" s="1">
        <f t="shared" si="17"/>
        <v>7.571925387290547E-2</v>
      </c>
      <c r="AG29" s="1">
        <f t="shared" si="18"/>
        <v>0.31694593740120142</v>
      </c>
      <c r="AH29" s="1">
        <f t="shared" si="19"/>
        <v>0.45157550848350719</v>
      </c>
      <c r="AI29" s="2">
        <f t="shared" si="20"/>
        <v>6.0043207924965749E-3</v>
      </c>
      <c r="AJ29" s="2">
        <f t="shared" si="21"/>
        <v>2.2620929497312675E-2</v>
      </c>
      <c r="AK29" s="2">
        <f t="shared" si="22"/>
        <v>8.7830646011170826E-2</v>
      </c>
      <c r="AL29" s="2">
        <f t="shared" si="23"/>
        <v>0.16867952365897354</v>
      </c>
      <c r="AM29" s="2">
        <f t="shared" si="24"/>
        <v>0.38176309410896825</v>
      </c>
      <c r="AN29" s="2">
        <f t="shared" si="25"/>
        <v>0.78642638844978396</v>
      </c>
      <c r="AO29" s="2">
        <f t="shared" si="26"/>
        <v>1.4533249025187058</v>
      </c>
      <c r="AP29" s="2">
        <f t="shared" si="27"/>
        <v>4.8872378543576775E-3</v>
      </c>
      <c r="AQ29" s="2">
        <f t="shared" si="28"/>
        <v>2.080566972283697E-2</v>
      </c>
      <c r="AR29" s="2">
        <f t="shared" si="29"/>
        <v>5.2921804194330277E-2</v>
      </c>
      <c r="AS29" s="2">
        <f t="shared" si="30"/>
        <v>7.7497628833386026E-2</v>
      </c>
      <c r="AT29" s="2">
        <f t="shared" si="31"/>
        <v>0.20065602276319949</v>
      </c>
      <c r="AU29" s="2">
        <f t="shared" si="32"/>
        <v>0.83990673411318373</v>
      </c>
      <c r="AV29" s="2">
        <f t="shared" si="33"/>
        <v>1.1966750974812941</v>
      </c>
      <c r="AW29">
        <v>150800</v>
      </c>
      <c r="AX29" s="33">
        <v>1212202000</v>
      </c>
      <c r="AY29" s="33">
        <f t="shared" si="34"/>
        <v>45587000</v>
      </c>
      <c r="AZ29">
        <v>1057511000</v>
      </c>
      <c r="BA29">
        <v>12804000</v>
      </c>
      <c r="BB29">
        <v>2110000</v>
      </c>
      <c r="BC29">
        <v>2028000</v>
      </c>
      <c r="BD29">
        <v>5012000</v>
      </c>
      <c r="BE29">
        <v>1011924000</v>
      </c>
      <c r="BF29">
        <v>5681000</v>
      </c>
      <c r="BG29">
        <v>14944000</v>
      </c>
      <c r="BH29">
        <v>2867000</v>
      </c>
      <c r="BI29">
        <v>142000</v>
      </c>
      <c r="BJ29">
        <v>105563000</v>
      </c>
      <c r="BK29">
        <v>59355000</v>
      </c>
      <c r="BL29">
        <v>49127000</v>
      </c>
      <c r="BM29">
        <v>13231000</v>
      </c>
      <c r="BN29" s="1">
        <f t="shared" si="4"/>
        <v>0.87238843031111979</v>
      </c>
      <c r="BO29" s="1">
        <f t="shared" si="35"/>
        <v>1.0562596002976401E-2</v>
      </c>
      <c r="BP29" s="1">
        <f t="shared" si="36"/>
        <v>1.7406339867447834E-3</v>
      </c>
      <c r="BQ29" s="1">
        <f t="shared" si="37"/>
        <v>1.6729884953167872E-3</v>
      </c>
      <c r="BR29" s="1">
        <f t="shared" si="38"/>
        <v>4.1346244272819216E-3</v>
      </c>
      <c r="BS29" s="1">
        <f t="shared" si="39"/>
        <v>0.83478166180224089</v>
      </c>
      <c r="BT29" s="1">
        <f t="shared" si="40"/>
        <v>4.6865126439322819E-3</v>
      </c>
      <c r="BU29" s="1">
        <f t="shared" si="41"/>
        <v>1.2327978340243623E-2</v>
      </c>
      <c r="BV29" s="1">
        <f t="shared" si="42"/>
        <v>2.3651173649276275E-3</v>
      </c>
      <c r="BW29" s="1">
        <f t="shared" si="43"/>
        <v>1.1714219247287168E-4</v>
      </c>
      <c r="BX29" s="1">
        <f t="shared" si="44"/>
        <v>8.7083670873336294E-2</v>
      </c>
      <c r="BY29" s="1">
        <f t="shared" si="45"/>
        <v>4.8964611508642952E-2</v>
      </c>
      <c r="BZ29" s="1">
        <f t="shared" si="46"/>
        <v>4.052707387052653E-2</v>
      </c>
      <c r="CA29" s="1">
        <f t="shared" si="47"/>
        <v>1.0914847525412431E-2</v>
      </c>
      <c r="CB29" s="2">
        <f t="shared" si="48"/>
        <v>2.3118293403244672</v>
      </c>
      <c r="CC29" s="2">
        <f t="shared" si="49"/>
        <v>2.799087940788746E-2</v>
      </c>
      <c r="CD29" s="2">
        <f t="shared" si="50"/>
        <v>4.612680064873676E-3</v>
      </c>
      <c r="CE29" s="2">
        <f t="shared" si="51"/>
        <v>4.4334195125894857E-3</v>
      </c>
      <c r="CF29" s="2">
        <f t="shared" si="52"/>
        <v>1.0956754732297092E-2</v>
      </c>
      <c r="CG29" s="2">
        <f t="shared" si="53"/>
        <v>2.2121714037759381</v>
      </c>
      <c r="CH29" s="2">
        <f t="shared" si="54"/>
        <v>1.2419258506420547E-2</v>
      </c>
      <c r="CI29" s="2">
        <f t="shared" si="55"/>
        <v>3.26691426016456E-2</v>
      </c>
      <c r="CJ29" s="2">
        <f t="shared" si="56"/>
        <v>6.267561017058213E-3</v>
      </c>
      <c r="CK29" s="2">
        <f t="shared" si="57"/>
        <v>3.1042681005310992E-4</v>
      </c>
      <c r="CL29" s="2">
        <f t="shared" si="58"/>
        <v>0.23077172781434116</v>
      </c>
      <c r="CM29" s="2">
        <f t="shared" si="59"/>
        <v>0.12975622049790381</v>
      </c>
      <c r="CN29" s="2">
        <f t="shared" si="60"/>
        <v>0.1073967457568953</v>
      </c>
      <c r="CO29" s="2">
        <f t="shared" si="61"/>
        <v>2.892434594234294E-2</v>
      </c>
    </row>
    <row r="30" spans="1:93" x14ac:dyDescent="0.25">
      <c r="A30" s="29">
        <v>12</v>
      </c>
      <c r="B30" t="s">
        <v>27</v>
      </c>
      <c r="C30">
        <v>52021</v>
      </c>
      <c r="D30">
        <v>7.9000000000000001E-2</v>
      </c>
      <c r="E30">
        <v>0.56999999999999995</v>
      </c>
      <c r="F30">
        <v>5200</v>
      </c>
      <c r="G30">
        <v>8600</v>
      </c>
      <c r="H30">
        <v>12800</v>
      </c>
      <c r="I30">
        <v>8400</v>
      </c>
      <c r="J30">
        <v>9400</v>
      </c>
      <c r="K30">
        <v>8200</v>
      </c>
      <c r="L30">
        <v>52800</v>
      </c>
      <c r="M30">
        <v>2000</v>
      </c>
      <c r="N30">
        <v>8000</v>
      </c>
      <c r="O30">
        <v>16600</v>
      </c>
      <c r="P30">
        <v>9400</v>
      </c>
      <c r="Q30">
        <v>9200</v>
      </c>
      <c r="R30">
        <v>11000</v>
      </c>
      <c r="S30">
        <v>56000</v>
      </c>
      <c r="T30">
        <f t="shared" si="0"/>
        <v>108800</v>
      </c>
      <c r="U30" s="1">
        <f t="shared" si="1"/>
        <v>4.779411764705882E-2</v>
      </c>
      <c r="V30" s="1">
        <f t="shared" si="7"/>
        <v>7.904411764705882E-2</v>
      </c>
      <c r="W30" s="1">
        <f t="shared" si="8"/>
        <v>0.11764705882352941</v>
      </c>
      <c r="X30" s="1">
        <f t="shared" si="9"/>
        <v>7.720588235294118E-2</v>
      </c>
      <c r="Y30" s="1">
        <f t="shared" si="10"/>
        <v>8.639705882352941E-2</v>
      </c>
      <c r="Z30" s="1">
        <f t="shared" si="11"/>
        <v>7.5367647058823525E-2</v>
      </c>
      <c r="AA30" s="1">
        <f t="shared" si="12"/>
        <v>0.48529411764705882</v>
      </c>
      <c r="AB30" s="1">
        <f t="shared" si="13"/>
        <v>1.8382352941176471E-2</v>
      </c>
      <c r="AC30" s="1">
        <f t="shared" si="14"/>
        <v>7.3529411764705885E-2</v>
      </c>
      <c r="AD30" s="1">
        <f t="shared" si="15"/>
        <v>0.15257352941176472</v>
      </c>
      <c r="AE30" s="1">
        <f t="shared" si="16"/>
        <v>8.639705882352941E-2</v>
      </c>
      <c r="AF30" s="1">
        <f t="shared" si="17"/>
        <v>8.455882352941177E-2</v>
      </c>
      <c r="AG30" s="1">
        <f t="shared" si="18"/>
        <v>0.10110294117647059</v>
      </c>
      <c r="AH30" s="1">
        <f t="shared" si="19"/>
        <v>0.51470588235294112</v>
      </c>
      <c r="AI30" s="2">
        <f t="shared" si="20"/>
        <v>2.7242647058823524E-2</v>
      </c>
      <c r="AJ30" s="2">
        <f t="shared" si="21"/>
        <v>4.5055147058823526E-2</v>
      </c>
      <c r="AK30" s="2">
        <f t="shared" si="22"/>
        <v>6.7058823529411754E-2</v>
      </c>
      <c r="AL30" s="2">
        <f t="shared" si="23"/>
        <v>4.400735294117647E-2</v>
      </c>
      <c r="AM30" s="2">
        <f t="shared" si="24"/>
        <v>4.9246323529411759E-2</v>
      </c>
      <c r="AN30" s="2">
        <f t="shared" si="25"/>
        <v>4.2959558823529406E-2</v>
      </c>
      <c r="AO30" s="2">
        <f t="shared" si="26"/>
        <v>0.27661764705882352</v>
      </c>
      <c r="AP30" s="2">
        <f t="shared" si="27"/>
        <v>1.0477941176470587E-2</v>
      </c>
      <c r="AQ30" s="2">
        <f t="shared" si="28"/>
        <v>4.191176470588235E-2</v>
      </c>
      <c r="AR30" s="2">
        <f t="shared" si="29"/>
        <v>8.6966911764705876E-2</v>
      </c>
      <c r="AS30" s="2">
        <f t="shared" si="30"/>
        <v>4.9246323529411759E-2</v>
      </c>
      <c r="AT30" s="2">
        <f t="shared" si="31"/>
        <v>4.8198529411764703E-2</v>
      </c>
      <c r="AU30" s="2">
        <f t="shared" si="32"/>
        <v>5.7628676470588232E-2</v>
      </c>
      <c r="AV30" s="2">
        <f t="shared" si="33"/>
        <v>0.29338235294117643</v>
      </c>
      <c r="AW30">
        <v>9936600</v>
      </c>
      <c r="AX30" s="33">
        <v>38465884000</v>
      </c>
      <c r="AY30" s="33">
        <f t="shared" si="34"/>
        <v>4550752000</v>
      </c>
      <c r="AZ30">
        <v>5631793000</v>
      </c>
      <c r="BA30">
        <v>1775594000</v>
      </c>
      <c r="BB30">
        <v>522726000</v>
      </c>
      <c r="BC30">
        <v>425407000</v>
      </c>
      <c r="BD30">
        <v>313405000</v>
      </c>
      <c r="BE30">
        <v>1081041000</v>
      </c>
      <c r="BF30">
        <v>632731000</v>
      </c>
      <c r="BG30">
        <v>319754000</v>
      </c>
      <c r="BH30">
        <v>536870000</v>
      </c>
      <c r="BI30">
        <v>24264000</v>
      </c>
      <c r="BJ30">
        <v>28952028000</v>
      </c>
      <c r="BK30">
        <v>23440211000</v>
      </c>
      <c r="BL30">
        <v>3882063000</v>
      </c>
      <c r="BM30">
        <v>3396397000</v>
      </c>
      <c r="BN30" s="1">
        <f t="shared" si="4"/>
        <v>0.14641007600397277</v>
      </c>
      <c r="BO30" s="1">
        <f t="shared" si="35"/>
        <v>4.6160228632728159E-2</v>
      </c>
      <c r="BP30" s="1">
        <f t="shared" si="36"/>
        <v>1.358934062193917E-2</v>
      </c>
      <c r="BQ30" s="1">
        <f t="shared" si="37"/>
        <v>1.1059332472379941E-2</v>
      </c>
      <c r="BR30" s="1">
        <f t="shared" si="38"/>
        <v>8.1476094504938455E-3</v>
      </c>
      <c r="BS30" s="1">
        <f t="shared" si="39"/>
        <v>2.8103890710012021E-2</v>
      </c>
      <c r="BT30" s="1">
        <f t="shared" si="40"/>
        <v>1.6449147509517786E-2</v>
      </c>
      <c r="BU30" s="1">
        <f t="shared" si="41"/>
        <v>8.312664801880025E-3</v>
      </c>
      <c r="BV30" s="1">
        <f t="shared" si="42"/>
        <v>1.3957043077444938E-2</v>
      </c>
      <c r="BW30" s="1">
        <f t="shared" si="43"/>
        <v>6.3079273051413554E-4</v>
      </c>
      <c r="BX30" s="1">
        <f t="shared" si="44"/>
        <v>0.7526676885938719</v>
      </c>
      <c r="BY30" s="1">
        <f t="shared" si="45"/>
        <v>0.60937663619013671</v>
      </c>
      <c r="BZ30" s="1">
        <f t="shared" si="46"/>
        <v>0.10092223540215532</v>
      </c>
      <c r="CA30" s="1">
        <f t="shared" si="47"/>
        <v>8.8296345925651942E-2</v>
      </c>
      <c r="CB30" s="2">
        <f t="shared" si="48"/>
        <v>8.3453743322264476E-2</v>
      </c>
      <c r="CC30" s="2">
        <f t="shared" si="49"/>
        <v>2.6311330320655048E-2</v>
      </c>
      <c r="CD30" s="2">
        <f t="shared" si="50"/>
        <v>7.7459241545053265E-3</v>
      </c>
      <c r="CE30" s="2">
        <f t="shared" si="51"/>
        <v>6.3038195092565653E-3</v>
      </c>
      <c r="CF30" s="2">
        <f t="shared" si="52"/>
        <v>4.6441373867814918E-3</v>
      </c>
      <c r="CG30" s="2">
        <f t="shared" si="53"/>
        <v>1.6019217704706851E-2</v>
      </c>
      <c r="CH30" s="2">
        <f t="shared" si="54"/>
        <v>9.3760140804251373E-3</v>
      </c>
      <c r="CI30" s="2">
        <f t="shared" si="55"/>
        <v>4.7382189370716137E-3</v>
      </c>
      <c r="CJ30" s="2">
        <f t="shared" si="56"/>
        <v>7.9555145541436133E-3</v>
      </c>
      <c r="CK30" s="2">
        <f t="shared" si="57"/>
        <v>3.5955185639305722E-4</v>
      </c>
      <c r="CL30" s="2">
        <f t="shared" si="58"/>
        <v>0.42902058249850694</v>
      </c>
      <c r="CM30" s="2">
        <f t="shared" si="59"/>
        <v>0.34734468262837792</v>
      </c>
      <c r="CN30" s="2">
        <f t="shared" si="60"/>
        <v>5.7525674179228527E-2</v>
      </c>
      <c r="CO30" s="2">
        <f t="shared" si="61"/>
        <v>5.0328917177621606E-2</v>
      </c>
    </row>
    <row r="31" spans="1:93" x14ac:dyDescent="0.25">
      <c r="A31" s="29">
        <v>14</v>
      </c>
      <c r="B31" t="s">
        <v>211</v>
      </c>
      <c r="C31">
        <v>120196</v>
      </c>
      <c r="D31">
        <v>0.18</v>
      </c>
      <c r="E31">
        <v>1.04</v>
      </c>
      <c r="F31">
        <v>7000</v>
      </c>
      <c r="G31">
        <v>7300</v>
      </c>
      <c r="H31">
        <v>13200</v>
      </c>
      <c r="I31">
        <v>11900</v>
      </c>
      <c r="J31">
        <v>14400</v>
      </c>
      <c r="K31">
        <v>11800</v>
      </c>
      <c r="L31">
        <v>65700</v>
      </c>
      <c r="M31">
        <v>6200</v>
      </c>
      <c r="N31">
        <v>7600</v>
      </c>
      <c r="O31">
        <v>11900</v>
      </c>
      <c r="P31">
        <v>8600</v>
      </c>
      <c r="Q31">
        <v>10400</v>
      </c>
      <c r="R31">
        <v>11500</v>
      </c>
      <c r="S31">
        <v>56000</v>
      </c>
      <c r="T31">
        <f t="shared" si="0"/>
        <v>121700</v>
      </c>
      <c r="U31" s="1">
        <f t="shared" si="1"/>
        <v>5.7518488085456038E-2</v>
      </c>
      <c r="V31" s="1">
        <f t="shared" si="7"/>
        <v>5.9983566146261297E-2</v>
      </c>
      <c r="W31" s="1">
        <f t="shared" si="8"/>
        <v>0.10846343467543139</v>
      </c>
      <c r="X31" s="1">
        <f t="shared" si="9"/>
        <v>9.7781429745275261E-2</v>
      </c>
      <c r="Y31" s="1">
        <f t="shared" si="10"/>
        <v>0.11832374691865243</v>
      </c>
      <c r="Z31" s="1">
        <f t="shared" si="11"/>
        <v>9.6959737058340184E-2</v>
      </c>
      <c r="AA31" s="1">
        <f t="shared" si="12"/>
        <v>0.5398520953163517</v>
      </c>
      <c r="AB31" s="1">
        <f t="shared" si="13"/>
        <v>5.0944946589975351E-2</v>
      </c>
      <c r="AC31" s="1">
        <f t="shared" si="14"/>
        <v>6.2448644207066556E-2</v>
      </c>
      <c r="AD31" s="1">
        <f t="shared" si="15"/>
        <v>9.7781429745275261E-2</v>
      </c>
      <c r="AE31" s="1">
        <f t="shared" si="16"/>
        <v>7.0665571076417424E-2</v>
      </c>
      <c r="AF31" s="1">
        <f t="shared" si="17"/>
        <v>8.5456039441248979E-2</v>
      </c>
      <c r="AG31" s="1">
        <f t="shared" si="18"/>
        <v>9.4494658997534925E-2</v>
      </c>
      <c r="AH31" s="1">
        <f t="shared" si="19"/>
        <v>0.4601479046836483</v>
      </c>
      <c r="AI31" s="2">
        <f t="shared" si="20"/>
        <v>5.981922760887428E-2</v>
      </c>
      <c r="AJ31" s="2">
        <f t="shared" si="21"/>
        <v>6.2382908792111752E-2</v>
      </c>
      <c r="AK31" s="2">
        <f t="shared" si="22"/>
        <v>0.11280197206244864</v>
      </c>
      <c r="AL31" s="2">
        <f t="shared" si="23"/>
        <v>0.10169268693508628</v>
      </c>
      <c r="AM31" s="2">
        <f t="shared" si="24"/>
        <v>0.12305669679539853</v>
      </c>
      <c r="AN31" s="2">
        <f t="shared" si="25"/>
        <v>0.1008381265406738</v>
      </c>
      <c r="AO31" s="2">
        <f t="shared" si="26"/>
        <v>0.56144617912900574</v>
      </c>
      <c r="AP31" s="2">
        <f t="shared" si="27"/>
        <v>5.2982744453574364E-2</v>
      </c>
      <c r="AQ31" s="2">
        <f t="shared" si="28"/>
        <v>6.4946589975349217E-2</v>
      </c>
      <c r="AR31" s="2">
        <f t="shared" si="29"/>
        <v>0.10169268693508628</v>
      </c>
      <c r="AS31" s="2">
        <f t="shared" si="30"/>
        <v>7.3492193919474119E-2</v>
      </c>
      <c r="AT31" s="2">
        <f t="shared" si="31"/>
        <v>8.8874281018898937E-2</v>
      </c>
      <c r="AU31" s="2">
        <f t="shared" si="32"/>
        <v>9.8274445357436319E-2</v>
      </c>
      <c r="AV31" s="2">
        <f t="shared" si="33"/>
        <v>0.47855382087099424</v>
      </c>
      <c r="AW31">
        <v>1212700</v>
      </c>
      <c r="AX31" s="33">
        <v>967687000</v>
      </c>
      <c r="AY31" s="33">
        <f t="shared" si="34"/>
        <v>389893000</v>
      </c>
      <c r="AZ31">
        <v>570340000</v>
      </c>
      <c r="BA31">
        <v>162815000</v>
      </c>
      <c r="BB31">
        <v>57094000</v>
      </c>
      <c r="BC31">
        <v>52054000</v>
      </c>
      <c r="BD31">
        <v>26866000</v>
      </c>
      <c r="BE31">
        <v>180447000</v>
      </c>
      <c r="BF31">
        <v>53335000</v>
      </c>
      <c r="BG31">
        <v>21524000</v>
      </c>
      <c r="BH31">
        <v>11175000</v>
      </c>
      <c r="BI31">
        <v>5030000</v>
      </c>
      <c r="BJ31">
        <v>47508000</v>
      </c>
      <c r="BK31">
        <v>5817000</v>
      </c>
      <c r="BL31">
        <v>349839000</v>
      </c>
      <c r="BM31">
        <v>152196000</v>
      </c>
      <c r="BN31" s="1">
        <f t="shared" si="4"/>
        <v>0.58938479074328787</v>
      </c>
      <c r="BO31" s="1">
        <f t="shared" si="35"/>
        <v>0.1682517177558446</v>
      </c>
      <c r="BP31" s="1">
        <f t="shared" si="36"/>
        <v>5.9000482594061925E-2</v>
      </c>
      <c r="BQ31" s="1">
        <f t="shared" si="37"/>
        <v>5.3792186936478428E-2</v>
      </c>
      <c r="BR31" s="1">
        <f t="shared" si="38"/>
        <v>2.7763109352507576E-2</v>
      </c>
      <c r="BS31" s="1">
        <f t="shared" si="39"/>
        <v>0.18647248542142242</v>
      </c>
      <c r="BT31" s="1">
        <f t="shared" si="40"/>
        <v>5.5115962082780898E-2</v>
      </c>
      <c r="BU31" s="1">
        <f t="shared" si="41"/>
        <v>2.2242729312267295E-2</v>
      </c>
      <c r="BV31" s="1">
        <f t="shared" si="42"/>
        <v>1.1548155550296738E-2</v>
      </c>
      <c r="BW31" s="1">
        <f t="shared" si="43"/>
        <v>5.1979617376279727E-3</v>
      </c>
      <c r="BX31" s="1">
        <f t="shared" si="44"/>
        <v>4.909438692469776E-2</v>
      </c>
      <c r="BY31" s="1">
        <f t="shared" si="45"/>
        <v>6.011241238127618E-3</v>
      </c>
      <c r="BZ31" s="1">
        <f t="shared" si="46"/>
        <v>0.36152082233201438</v>
      </c>
      <c r="CA31" s="1">
        <f t="shared" si="47"/>
        <v>0.15727812815507494</v>
      </c>
      <c r="CB31" s="2">
        <f t="shared" si="48"/>
        <v>0.61296018237301941</v>
      </c>
      <c r="CC31" s="2">
        <f t="shared" si="49"/>
        <v>0.1749817864660784</v>
      </c>
      <c r="CD31" s="2">
        <f t="shared" si="50"/>
        <v>6.1360501897824403E-2</v>
      </c>
      <c r="CE31" s="2">
        <f t="shared" si="51"/>
        <v>5.5943874413937569E-2</v>
      </c>
      <c r="CF31" s="2">
        <f t="shared" si="52"/>
        <v>2.8873633726607881E-2</v>
      </c>
      <c r="CG31" s="2">
        <f t="shared" si="53"/>
        <v>0.19393138483827932</v>
      </c>
      <c r="CH31" s="2">
        <f t="shared" si="54"/>
        <v>5.7320600566092138E-2</v>
      </c>
      <c r="CI31" s="2">
        <f t="shared" si="55"/>
        <v>2.3132438484757989E-2</v>
      </c>
      <c r="CJ31" s="2">
        <f t="shared" si="56"/>
        <v>1.2010081772308608E-2</v>
      </c>
      <c r="CK31" s="2">
        <f t="shared" si="57"/>
        <v>5.405880207133092E-3</v>
      </c>
      <c r="CL31" s="2">
        <f t="shared" si="58"/>
        <v>5.1058162401685675E-2</v>
      </c>
      <c r="CM31" s="2">
        <f t="shared" si="59"/>
        <v>6.2516908876527229E-3</v>
      </c>
      <c r="CN31" s="2">
        <f t="shared" si="60"/>
        <v>0.37598165522529498</v>
      </c>
      <c r="CO31" s="2">
        <f t="shared" si="61"/>
        <v>0.16356925328127794</v>
      </c>
    </row>
    <row r="32" spans="1:93" x14ac:dyDescent="0.25">
      <c r="A32" s="29">
        <v>55</v>
      </c>
      <c r="B32" t="s">
        <v>28</v>
      </c>
      <c r="C32">
        <v>9417185</v>
      </c>
      <c r="D32">
        <v>14</v>
      </c>
      <c r="E32">
        <v>37.409999999999997</v>
      </c>
      <c r="F32">
        <v>773800</v>
      </c>
      <c r="G32">
        <v>747700</v>
      </c>
      <c r="H32">
        <v>1007900</v>
      </c>
      <c r="I32">
        <v>659400</v>
      </c>
      <c r="J32">
        <v>632600</v>
      </c>
      <c r="K32">
        <v>416000</v>
      </c>
      <c r="L32">
        <v>4237300</v>
      </c>
      <c r="M32">
        <v>585500</v>
      </c>
      <c r="N32">
        <v>885800</v>
      </c>
      <c r="O32">
        <v>1283400</v>
      </c>
      <c r="P32">
        <v>727300</v>
      </c>
      <c r="Q32">
        <v>696100</v>
      </c>
      <c r="R32">
        <v>642100</v>
      </c>
      <c r="S32">
        <v>4820700</v>
      </c>
      <c r="T32">
        <f t="shared" si="0"/>
        <v>9058000</v>
      </c>
      <c r="U32" s="1">
        <f t="shared" si="1"/>
        <v>8.5427246632810774E-2</v>
      </c>
      <c r="V32" s="1">
        <f t="shared" si="7"/>
        <v>8.2545815853389271E-2</v>
      </c>
      <c r="W32" s="1">
        <f t="shared" si="8"/>
        <v>0.11127180393022743</v>
      </c>
      <c r="X32" s="1">
        <f t="shared" si="9"/>
        <v>7.2797527047913452E-2</v>
      </c>
      <c r="Y32" s="1">
        <f t="shared" si="10"/>
        <v>6.9838816515787147E-2</v>
      </c>
      <c r="Z32" s="1">
        <f t="shared" si="11"/>
        <v>4.5926253035990287E-2</v>
      </c>
      <c r="AA32" s="1">
        <f t="shared" si="12"/>
        <v>0.46779642305144625</v>
      </c>
      <c r="AB32" s="1">
        <f t="shared" si="13"/>
        <v>6.4638993155221897E-2</v>
      </c>
      <c r="AC32" s="1">
        <f t="shared" si="14"/>
        <v>9.7792007065577391E-2</v>
      </c>
      <c r="AD32" s="1">
        <f t="shared" si="15"/>
        <v>0.14168690660189887</v>
      </c>
      <c r="AE32" s="1">
        <f t="shared" si="16"/>
        <v>8.02936630602782E-2</v>
      </c>
      <c r="AF32" s="1">
        <f t="shared" si="17"/>
        <v>7.6849194082578939E-2</v>
      </c>
      <c r="AG32" s="1">
        <f t="shared" si="18"/>
        <v>7.0887613159637888E-2</v>
      </c>
      <c r="AH32" s="1">
        <f t="shared" si="19"/>
        <v>0.5322035769485538</v>
      </c>
      <c r="AI32" s="2">
        <f t="shared" si="20"/>
        <v>3.1958332965334506</v>
      </c>
      <c r="AJ32" s="2">
        <f t="shared" si="21"/>
        <v>3.0880389710752922</v>
      </c>
      <c r="AK32" s="2">
        <f t="shared" si="22"/>
        <v>4.162678185029808</v>
      </c>
      <c r="AL32" s="2">
        <f t="shared" si="23"/>
        <v>2.7233554868624421</v>
      </c>
      <c r="AM32" s="2">
        <f t="shared" si="24"/>
        <v>2.6126701258555971</v>
      </c>
      <c r="AN32" s="2">
        <f t="shared" si="25"/>
        <v>1.7181011260763965</v>
      </c>
      <c r="AO32" s="2">
        <f t="shared" si="26"/>
        <v>17.500264186354602</v>
      </c>
      <c r="AP32" s="2">
        <f t="shared" si="27"/>
        <v>2.4181447339368511</v>
      </c>
      <c r="AQ32" s="2">
        <f t="shared" si="28"/>
        <v>3.6583989843232501</v>
      </c>
      <c r="AR32" s="2">
        <f t="shared" si="29"/>
        <v>5.3005071759770361</v>
      </c>
      <c r="AS32" s="2">
        <f t="shared" si="30"/>
        <v>3.0037859350850074</v>
      </c>
      <c r="AT32" s="2">
        <f t="shared" si="31"/>
        <v>2.8749283506292778</v>
      </c>
      <c r="AU32" s="2">
        <f t="shared" si="32"/>
        <v>2.6519056083020534</v>
      </c>
      <c r="AV32" s="2">
        <f t="shared" si="33"/>
        <v>19.909735813645398</v>
      </c>
      <c r="AW32">
        <v>137300</v>
      </c>
      <c r="AX32" s="33">
        <v>547428000</v>
      </c>
      <c r="AY32" s="33">
        <f t="shared" si="34"/>
        <v>149749000</v>
      </c>
      <c r="AZ32">
        <v>177068000</v>
      </c>
      <c r="BA32">
        <v>14802000</v>
      </c>
      <c r="BB32">
        <v>36782000</v>
      </c>
      <c r="BC32">
        <v>12599000</v>
      </c>
      <c r="BD32">
        <v>14172000</v>
      </c>
      <c r="BE32">
        <v>27319000</v>
      </c>
      <c r="BF32">
        <v>38067000</v>
      </c>
      <c r="BG32">
        <v>1802000</v>
      </c>
      <c r="BH32">
        <v>31455000</v>
      </c>
      <c r="BI32">
        <v>72000</v>
      </c>
      <c r="BJ32">
        <v>362990000</v>
      </c>
      <c r="BK32">
        <v>1976000</v>
      </c>
      <c r="BL32">
        <v>7369000</v>
      </c>
      <c r="BM32">
        <v>1652000</v>
      </c>
      <c r="BN32" s="1">
        <f t="shared" si="4"/>
        <v>0.32345440861629293</v>
      </c>
      <c r="BO32" s="1">
        <f t="shared" si="35"/>
        <v>2.7039172274710099E-2</v>
      </c>
      <c r="BP32" s="1">
        <f t="shared" si="36"/>
        <v>6.7190571180136938E-2</v>
      </c>
      <c r="BQ32" s="1">
        <f t="shared" si="37"/>
        <v>2.301489876294234E-2</v>
      </c>
      <c r="BR32" s="1">
        <f t="shared" si="38"/>
        <v>2.5888336000350731E-2</v>
      </c>
      <c r="BS32" s="1">
        <f t="shared" si="39"/>
        <v>4.990427964956122E-2</v>
      </c>
      <c r="BT32" s="1">
        <f t="shared" si="40"/>
        <v>6.9537911834981037E-2</v>
      </c>
      <c r="BU32" s="1">
        <f t="shared" si="41"/>
        <v>3.2917570895167948E-3</v>
      </c>
      <c r="BV32" s="1">
        <f t="shared" si="42"/>
        <v>5.7459611126942721E-2</v>
      </c>
      <c r="BW32" s="1">
        <f t="shared" si="43"/>
        <v>1.315241456410706E-4</v>
      </c>
      <c r="BX32" s="1">
        <f t="shared" si="44"/>
        <v>0.66308263369794751</v>
      </c>
      <c r="BY32" s="1">
        <f t="shared" si="45"/>
        <v>3.6096071081493822E-3</v>
      </c>
      <c r="BZ32" s="1">
        <f t="shared" si="46"/>
        <v>1.3461130961514573E-2</v>
      </c>
      <c r="CA32" s="1">
        <f t="shared" si="47"/>
        <v>3.0177484527645643E-3</v>
      </c>
      <c r="CB32" s="2">
        <f t="shared" si="48"/>
        <v>12.100429426335518</v>
      </c>
      <c r="CC32" s="2">
        <f t="shared" si="49"/>
        <v>1.0115354347969048</v>
      </c>
      <c r="CD32" s="2">
        <f t="shared" si="50"/>
        <v>2.5135992678489227</v>
      </c>
      <c r="CE32" s="2">
        <f t="shared" si="51"/>
        <v>0.86098736272167287</v>
      </c>
      <c r="CF32" s="2">
        <f t="shared" si="52"/>
        <v>0.96848264977312082</v>
      </c>
      <c r="CG32" s="2">
        <f t="shared" si="53"/>
        <v>1.866919101690085</v>
      </c>
      <c r="CH32" s="2">
        <f t="shared" si="54"/>
        <v>2.6014132817466402</v>
      </c>
      <c r="CI32" s="2">
        <f t="shared" si="55"/>
        <v>0.12314463271882328</v>
      </c>
      <c r="CJ32" s="2">
        <f t="shared" si="56"/>
        <v>2.1495640522589272</v>
      </c>
      <c r="CK32" s="2">
        <f t="shared" si="57"/>
        <v>4.9203182884324506E-3</v>
      </c>
      <c r="CL32" s="2">
        <f t="shared" si="58"/>
        <v>24.805921326640213</v>
      </c>
      <c r="CM32" s="2">
        <f t="shared" si="59"/>
        <v>0.13503540191586838</v>
      </c>
      <c r="CN32" s="2">
        <f t="shared" si="60"/>
        <v>0.50358090927026011</v>
      </c>
      <c r="CO32" s="2">
        <f t="shared" si="61"/>
        <v>0.11289396961792234</v>
      </c>
    </row>
    <row r="33" spans="1:93" x14ac:dyDescent="0.25">
      <c r="A33" s="29">
        <v>54</v>
      </c>
      <c r="B33" t="s">
        <v>191</v>
      </c>
      <c r="C33">
        <v>1244966</v>
      </c>
      <c r="D33">
        <v>1.9</v>
      </c>
      <c r="E33">
        <v>0.95</v>
      </c>
      <c r="F33">
        <v>0</v>
      </c>
      <c r="G33">
        <v>41200</v>
      </c>
      <c r="H33">
        <v>232100</v>
      </c>
      <c r="I33">
        <v>219200</v>
      </c>
      <c r="J33">
        <v>255500</v>
      </c>
      <c r="K33">
        <v>311700</v>
      </c>
      <c r="L33">
        <v>1059700</v>
      </c>
      <c r="M33">
        <v>0</v>
      </c>
      <c r="N33">
        <v>53800</v>
      </c>
      <c r="O33">
        <v>331600</v>
      </c>
      <c r="P33">
        <v>333800</v>
      </c>
      <c r="Q33">
        <v>417400</v>
      </c>
      <c r="R33">
        <v>700100</v>
      </c>
      <c r="S33">
        <v>1836800</v>
      </c>
      <c r="T33">
        <f t="shared" si="0"/>
        <v>2896500</v>
      </c>
      <c r="U33" s="1">
        <f t="shared" si="1"/>
        <v>0</v>
      </c>
      <c r="V33" s="1">
        <f t="shared" si="7"/>
        <v>1.4224063524943898E-2</v>
      </c>
      <c r="W33" s="1">
        <f t="shared" si="8"/>
        <v>8.0131192818919381E-2</v>
      </c>
      <c r="X33" s="1">
        <f t="shared" si="9"/>
        <v>7.567754186086656E-2</v>
      </c>
      <c r="Y33" s="1">
        <f t="shared" si="10"/>
        <v>8.8209908510271023E-2</v>
      </c>
      <c r="Z33" s="1">
        <f t="shared" si="11"/>
        <v>0.1076126359399275</v>
      </c>
      <c r="AA33" s="1">
        <f t="shared" si="12"/>
        <v>0.36585534265492836</v>
      </c>
      <c r="AB33" s="1">
        <f t="shared" si="13"/>
        <v>0</v>
      </c>
      <c r="AC33" s="1">
        <f t="shared" si="14"/>
        <v>1.8574141204902469E-2</v>
      </c>
      <c r="AD33" s="1">
        <f t="shared" si="15"/>
        <v>0.11448299672017953</v>
      </c>
      <c r="AE33" s="1">
        <f t="shared" si="16"/>
        <v>0.1152425340928707</v>
      </c>
      <c r="AF33" s="1">
        <f t="shared" si="17"/>
        <v>0.1441049542551355</v>
      </c>
      <c r="AG33" s="1">
        <f t="shared" si="18"/>
        <v>0.241705506645952</v>
      </c>
      <c r="AH33" s="1">
        <f t="shared" si="19"/>
        <v>0.63414465734507164</v>
      </c>
      <c r="AI33" s="2">
        <f t="shared" si="20"/>
        <v>0</v>
      </c>
      <c r="AJ33" s="2">
        <f t="shared" si="21"/>
        <v>1.3512860348696702E-2</v>
      </c>
      <c r="AK33" s="2">
        <f t="shared" si="22"/>
        <v>7.6124633177973411E-2</v>
      </c>
      <c r="AL33" s="2">
        <f t="shared" si="23"/>
        <v>7.1893664767823232E-2</v>
      </c>
      <c r="AM33" s="2">
        <f t="shared" si="24"/>
        <v>8.3799413084757468E-2</v>
      </c>
      <c r="AN33" s="2">
        <f t="shared" si="25"/>
        <v>0.10223200414293111</v>
      </c>
      <c r="AO33" s="2">
        <f t="shared" si="26"/>
        <v>0.34756257552218195</v>
      </c>
      <c r="AP33" s="2">
        <f t="shared" si="27"/>
        <v>0</v>
      </c>
      <c r="AQ33" s="2">
        <f t="shared" si="28"/>
        <v>1.7645434144657343E-2</v>
      </c>
      <c r="AR33" s="2">
        <f t="shared" si="29"/>
        <v>0.10875884688417055</v>
      </c>
      <c r="AS33" s="2">
        <f t="shared" si="30"/>
        <v>0.10948040738822716</v>
      </c>
      <c r="AT33" s="2">
        <f t="shared" si="31"/>
        <v>0.13689970654237874</v>
      </c>
      <c r="AU33" s="2">
        <f t="shared" si="32"/>
        <v>0.22962023131365439</v>
      </c>
      <c r="AV33" s="2">
        <f t="shared" si="33"/>
        <v>0.60243742447781801</v>
      </c>
      <c r="AW33">
        <v>3500</v>
      </c>
      <c r="AX33" s="33">
        <v>229532000</v>
      </c>
      <c r="AY33" s="33">
        <f t="shared" si="34"/>
        <v>26985000</v>
      </c>
      <c r="AZ33">
        <v>53466000</v>
      </c>
      <c r="BA33">
        <v>511000</v>
      </c>
      <c r="BB33">
        <v>1372000</v>
      </c>
      <c r="BC33">
        <v>45000</v>
      </c>
      <c r="BD33">
        <v>44000</v>
      </c>
      <c r="BE33">
        <v>26481000</v>
      </c>
      <c r="BF33">
        <v>1132000</v>
      </c>
      <c r="BG33">
        <v>1919000</v>
      </c>
      <c r="BH33">
        <v>21957000</v>
      </c>
      <c r="BI33">
        <v>6000</v>
      </c>
      <c r="BJ33">
        <v>169218000</v>
      </c>
      <c r="BK33">
        <v>163537000</v>
      </c>
      <c r="BL33">
        <v>6847000</v>
      </c>
      <c r="BM33">
        <v>3476000</v>
      </c>
      <c r="BN33" s="1">
        <f t="shared" si="4"/>
        <v>0.23293484132931355</v>
      </c>
      <c r="BO33" s="1">
        <f t="shared" si="35"/>
        <v>2.2262691040900616E-3</v>
      </c>
      <c r="BP33" s="1">
        <f t="shared" si="36"/>
        <v>5.9773800602966037E-3</v>
      </c>
      <c r="BQ33" s="1">
        <f t="shared" si="37"/>
        <v>1.9605109527211893E-4</v>
      </c>
      <c r="BR33" s="1">
        <f t="shared" si="38"/>
        <v>1.9169440426607183E-4</v>
      </c>
      <c r="BS33" s="1">
        <f t="shared" si="39"/>
        <v>0.11536953453113291</v>
      </c>
      <c r="BT33" s="1">
        <f t="shared" si="40"/>
        <v>4.9317742188453029E-3</v>
      </c>
      <c r="BU33" s="1">
        <f t="shared" si="41"/>
        <v>8.3604900406043601E-3</v>
      </c>
      <c r="BV33" s="1">
        <f t="shared" si="42"/>
        <v>9.5659864419775892E-2</v>
      </c>
      <c r="BW33" s="1">
        <f t="shared" si="43"/>
        <v>2.6140146036282524E-5</v>
      </c>
      <c r="BX33" s="1">
        <f t="shared" si="44"/>
        <v>0.73723053866127597</v>
      </c>
      <c r="BY33" s="1">
        <f t="shared" si="45"/>
        <v>0.71248017705592248</v>
      </c>
      <c r="BZ33" s="1">
        <f t="shared" si="46"/>
        <v>2.9830263318404406E-2</v>
      </c>
      <c r="CA33" s="1">
        <f t="shared" si="47"/>
        <v>1.5143857937019676E-2</v>
      </c>
      <c r="CB33" s="2">
        <f t="shared" si="48"/>
        <v>0.22128809926284787</v>
      </c>
      <c r="CC33" s="2">
        <f t="shared" si="49"/>
        <v>2.1149556488855585E-3</v>
      </c>
      <c r="CD33" s="2">
        <f t="shared" si="50"/>
        <v>5.6785110572817729E-3</v>
      </c>
      <c r="CE33" s="2">
        <f t="shared" si="51"/>
        <v>1.8624854050851297E-4</v>
      </c>
      <c r="CF33" s="2">
        <f t="shared" si="52"/>
        <v>1.8210968405276822E-4</v>
      </c>
      <c r="CG33" s="2">
        <f t="shared" si="53"/>
        <v>0.10960105780457625</v>
      </c>
      <c r="CH33" s="2">
        <f t="shared" si="54"/>
        <v>4.6851855079030379E-3</v>
      </c>
      <c r="CI33" s="2">
        <f t="shared" si="55"/>
        <v>7.9424655385741411E-3</v>
      </c>
      <c r="CJ33" s="2">
        <f t="shared" si="56"/>
        <v>9.0876871198787096E-2</v>
      </c>
      <c r="CK33" s="2">
        <f t="shared" si="57"/>
        <v>2.4833138734468396E-5</v>
      </c>
      <c r="CL33" s="2">
        <f t="shared" si="58"/>
        <v>0.70036901172821209</v>
      </c>
      <c r="CM33" s="2">
        <f t="shared" si="59"/>
        <v>0.67685616820312633</v>
      </c>
      <c r="CN33" s="2">
        <f t="shared" si="60"/>
        <v>2.8338750152484184E-2</v>
      </c>
      <c r="CO33" s="2">
        <f t="shared" si="61"/>
        <v>1.4386665040168691E-2</v>
      </c>
    </row>
    <row r="34" spans="1:93" x14ac:dyDescent="0.25">
      <c r="A34" s="29">
        <v>49</v>
      </c>
      <c r="B34" t="s">
        <v>29</v>
      </c>
      <c r="C34">
        <v>273098</v>
      </c>
      <c r="D34">
        <v>0.41</v>
      </c>
      <c r="E34">
        <v>0.99</v>
      </c>
      <c r="F34">
        <v>1500</v>
      </c>
      <c r="G34">
        <v>27200</v>
      </c>
      <c r="H34">
        <v>45000</v>
      </c>
      <c r="I34">
        <v>23200</v>
      </c>
      <c r="J34">
        <v>19500</v>
      </c>
      <c r="K34">
        <v>11300</v>
      </c>
      <c r="L34">
        <v>127700</v>
      </c>
      <c r="M34">
        <v>1300</v>
      </c>
      <c r="N34">
        <v>32200</v>
      </c>
      <c r="O34">
        <v>56000</v>
      </c>
      <c r="P34">
        <v>24400</v>
      </c>
      <c r="Q34">
        <v>16900</v>
      </c>
      <c r="R34">
        <v>13200</v>
      </c>
      <c r="S34">
        <v>143900</v>
      </c>
      <c r="T34">
        <f t="shared" si="0"/>
        <v>271600</v>
      </c>
      <c r="U34" s="1">
        <f t="shared" si="1"/>
        <v>5.5228276877761417E-3</v>
      </c>
      <c r="V34" s="1">
        <f t="shared" si="7"/>
        <v>0.10014727540500737</v>
      </c>
      <c r="W34" s="1">
        <f t="shared" si="8"/>
        <v>0.16568483063328424</v>
      </c>
      <c r="X34" s="1">
        <f t="shared" si="9"/>
        <v>8.5419734904270989E-2</v>
      </c>
      <c r="Y34" s="1">
        <f t="shared" si="10"/>
        <v>7.1796759941089833E-2</v>
      </c>
      <c r="Z34" s="1">
        <f t="shared" si="11"/>
        <v>4.1605301914580263E-2</v>
      </c>
      <c r="AA34" s="1">
        <f t="shared" si="12"/>
        <v>0.47017673048600883</v>
      </c>
      <c r="AB34" s="1">
        <f t="shared" si="13"/>
        <v>4.7864506627393229E-3</v>
      </c>
      <c r="AC34" s="1">
        <f t="shared" si="14"/>
        <v>0.11855670103092783</v>
      </c>
      <c r="AD34" s="1">
        <f t="shared" si="15"/>
        <v>0.20618556701030927</v>
      </c>
      <c r="AE34" s="1">
        <f t="shared" si="16"/>
        <v>8.98379970544919E-2</v>
      </c>
      <c r="AF34" s="1">
        <f t="shared" si="17"/>
        <v>6.2223858615611194E-2</v>
      </c>
      <c r="AG34" s="1">
        <f t="shared" si="18"/>
        <v>4.8600883652430045E-2</v>
      </c>
      <c r="AH34" s="1">
        <f t="shared" si="19"/>
        <v>0.52982326951399117</v>
      </c>
      <c r="AI34" s="2">
        <f t="shared" si="20"/>
        <v>5.4675994108983805E-3</v>
      </c>
      <c r="AJ34" s="2">
        <f t="shared" si="21"/>
        <v>9.9145802650957293E-2</v>
      </c>
      <c r="AK34" s="2">
        <f t="shared" si="22"/>
        <v>0.1640279823269514</v>
      </c>
      <c r="AL34" s="2">
        <f t="shared" si="23"/>
        <v>8.4565537555228276E-2</v>
      </c>
      <c r="AM34" s="2">
        <f t="shared" si="24"/>
        <v>7.1078792341678937E-2</v>
      </c>
      <c r="AN34" s="2">
        <f t="shared" si="25"/>
        <v>4.118924889543446E-2</v>
      </c>
      <c r="AO34" s="2">
        <f t="shared" si="26"/>
        <v>0.46547496318114873</v>
      </c>
      <c r="AP34" s="2">
        <f t="shared" si="27"/>
        <v>4.7385861561119293E-3</v>
      </c>
      <c r="AQ34" s="2">
        <f t="shared" si="28"/>
        <v>0.11737113402061855</v>
      </c>
      <c r="AR34" s="2">
        <f t="shared" si="29"/>
        <v>0.20412371134020618</v>
      </c>
      <c r="AS34" s="2">
        <f t="shared" si="30"/>
        <v>8.8939617083946987E-2</v>
      </c>
      <c r="AT34" s="2">
        <f t="shared" si="31"/>
        <v>6.160162002945508E-2</v>
      </c>
      <c r="AU34" s="2">
        <f t="shared" si="32"/>
        <v>4.8114874815905741E-2</v>
      </c>
      <c r="AV34" s="2">
        <f t="shared" si="33"/>
        <v>0.52452503681885121</v>
      </c>
      <c r="AW34">
        <v>39800</v>
      </c>
      <c r="AX34" s="33">
        <v>520393000</v>
      </c>
      <c r="AY34" s="33">
        <f t="shared" si="34"/>
        <v>65914000</v>
      </c>
      <c r="AZ34">
        <v>263301000</v>
      </c>
      <c r="BA34">
        <v>6772000</v>
      </c>
      <c r="BB34">
        <v>4601000</v>
      </c>
      <c r="BC34">
        <v>1005000</v>
      </c>
      <c r="BD34">
        <v>933000</v>
      </c>
      <c r="BE34">
        <v>197387000</v>
      </c>
      <c r="BF34">
        <v>6393000</v>
      </c>
      <c r="BG34">
        <v>9826000</v>
      </c>
      <c r="BH34">
        <v>36292000</v>
      </c>
      <c r="BI34">
        <v>91000</v>
      </c>
      <c r="BJ34">
        <v>211967000</v>
      </c>
      <c r="BK34">
        <v>190121000</v>
      </c>
      <c r="BL34">
        <v>45124000</v>
      </c>
      <c r="BM34">
        <v>3964000</v>
      </c>
      <c r="BN34" s="1">
        <f t="shared" si="4"/>
        <v>0.50596568362756611</v>
      </c>
      <c r="BO34" s="1">
        <f t="shared" si="35"/>
        <v>1.3013241915244824E-2</v>
      </c>
      <c r="BP34" s="1">
        <f t="shared" si="36"/>
        <v>8.8413948688779442E-3</v>
      </c>
      <c r="BQ34" s="1">
        <f t="shared" si="37"/>
        <v>1.9312327414088967E-3</v>
      </c>
      <c r="BR34" s="1">
        <f t="shared" si="38"/>
        <v>1.7928757688900504E-3</v>
      </c>
      <c r="BS34" s="1">
        <f t="shared" si="39"/>
        <v>0.37930371853579892</v>
      </c>
      <c r="BT34" s="1">
        <f t="shared" si="40"/>
        <v>1.2284946184902563E-2</v>
      </c>
      <c r="BU34" s="1">
        <f t="shared" si="41"/>
        <v>1.8881883499585889E-2</v>
      </c>
      <c r="BV34" s="1">
        <f t="shared" si="42"/>
        <v>6.9739600647971828E-2</v>
      </c>
      <c r="BW34" s="1">
        <f t="shared" si="43"/>
        <v>1.7486784026687522E-4</v>
      </c>
      <c r="BX34" s="1">
        <f t="shared" si="44"/>
        <v>0.4073210054708653</v>
      </c>
      <c r="BY34" s="1">
        <f t="shared" si="45"/>
        <v>0.36534119405910531</v>
      </c>
      <c r="BZ34" s="1">
        <f t="shared" si="46"/>
        <v>8.671138927695031E-2</v>
      </c>
      <c r="CA34" s="1">
        <f t="shared" si="47"/>
        <v>7.6173199870098176E-3</v>
      </c>
      <c r="CB34" s="2">
        <f t="shared" si="48"/>
        <v>0.50090602679129048</v>
      </c>
      <c r="CC34" s="2">
        <f t="shared" si="49"/>
        <v>1.2883109496092376E-2</v>
      </c>
      <c r="CD34" s="2">
        <f t="shared" si="50"/>
        <v>8.7529809201891649E-3</v>
      </c>
      <c r="CE34" s="2">
        <f t="shared" si="51"/>
        <v>1.9119204139948077E-3</v>
      </c>
      <c r="CF34" s="2">
        <f t="shared" si="52"/>
        <v>1.7749470112011498E-3</v>
      </c>
      <c r="CG34" s="2">
        <f t="shared" si="53"/>
        <v>0.37551068135044091</v>
      </c>
      <c r="CH34" s="2">
        <f t="shared" si="54"/>
        <v>1.2162096723053538E-2</v>
      </c>
      <c r="CI34" s="2">
        <f t="shared" si="55"/>
        <v>1.8693064664590031E-2</v>
      </c>
      <c r="CJ34" s="2">
        <f t="shared" si="56"/>
        <v>6.9042204641492105E-2</v>
      </c>
      <c r="CK34" s="2">
        <f t="shared" si="57"/>
        <v>1.7311916186420648E-4</v>
      </c>
      <c r="CL34" s="2">
        <f t="shared" si="58"/>
        <v>0.40324779541615663</v>
      </c>
      <c r="CM34" s="2">
        <f t="shared" si="59"/>
        <v>0.36168778211851427</v>
      </c>
      <c r="CN34" s="2">
        <f t="shared" si="60"/>
        <v>8.584427538418081E-2</v>
      </c>
      <c r="CO34" s="2">
        <f t="shared" si="61"/>
        <v>7.5411467871397192E-3</v>
      </c>
    </row>
    <row r="35" spans="1:93" x14ac:dyDescent="0.25">
      <c r="A35" s="29">
        <v>47</v>
      </c>
      <c r="B35" t="s">
        <v>30</v>
      </c>
      <c r="C35">
        <v>3514</v>
      </c>
      <c r="D35">
        <v>5.3E-3</v>
      </c>
      <c r="E35">
        <v>0.24</v>
      </c>
      <c r="F35">
        <v>0</v>
      </c>
      <c r="G35">
        <v>200</v>
      </c>
      <c r="H35">
        <v>700</v>
      </c>
      <c r="I35">
        <v>500</v>
      </c>
      <c r="J35">
        <v>500</v>
      </c>
      <c r="K35">
        <v>200</v>
      </c>
      <c r="L35">
        <v>2200</v>
      </c>
      <c r="M35">
        <v>0</v>
      </c>
      <c r="N35">
        <v>200</v>
      </c>
      <c r="O35">
        <v>500</v>
      </c>
      <c r="P35">
        <v>300</v>
      </c>
      <c r="Q35">
        <v>300</v>
      </c>
      <c r="R35">
        <v>100</v>
      </c>
      <c r="S35">
        <v>1300</v>
      </c>
      <c r="T35">
        <f t="shared" ref="T35:T58" si="62">L35+S35</f>
        <v>3500</v>
      </c>
      <c r="U35" s="1">
        <f t="shared" ref="U35:U58" si="63">F35/$T35</f>
        <v>0</v>
      </c>
      <c r="V35" s="1">
        <f t="shared" si="7"/>
        <v>5.7142857142857141E-2</v>
      </c>
      <c r="W35" s="1">
        <f t="shared" si="8"/>
        <v>0.2</v>
      </c>
      <c r="X35" s="1">
        <f t="shared" si="9"/>
        <v>0.14285714285714285</v>
      </c>
      <c r="Y35" s="1">
        <f t="shared" si="10"/>
        <v>0.14285714285714285</v>
      </c>
      <c r="Z35" s="1">
        <f t="shared" si="11"/>
        <v>5.7142857142857141E-2</v>
      </c>
      <c r="AA35" s="1">
        <f t="shared" si="12"/>
        <v>0.62857142857142856</v>
      </c>
      <c r="AB35" s="1">
        <f t="shared" si="13"/>
        <v>0</v>
      </c>
      <c r="AC35" s="1">
        <f t="shared" si="14"/>
        <v>5.7142857142857141E-2</v>
      </c>
      <c r="AD35" s="1">
        <f t="shared" si="15"/>
        <v>0.14285714285714285</v>
      </c>
      <c r="AE35" s="1">
        <f t="shared" si="16"/>
        <v>8.5714285714285715E-2</v>
      </c>
      <c r="AF35" s="1">
        <f t="shared" si="17"/>
        <v>8.5714285714285715E-2</v>
      </c>
      <c r="AG35" s="1">
        <f t="shared" si="18"/>
        <v>2.8571428571428571E-2</v>
      </c>
      <c r="AH35" s="1">
        <f t="shared" si="19"/>
        <v>0.37142857142857144</v>
      </c>
      <c r="AI35" s="2">
        <f t="shared" si="20"/>
        <v>0</v>
      </c>
      <c r="AJ35" s="2">
        <f t="shared" si="21"/>
        <v>1.3714285714285714E-2</v>
      </c>
      <c r="AK35" s="2">
        <f t="shared" si="22"/>
        <v>4.8000000000000001E-2</v>
      </c>
      <c r="AL35" s="2">
        <f t="shared" si="23"/>
        <v>3.428571428571428E-2</v>
      </c>
      <c r="AM35" s="2">
        <f t="shared" si="24"/>
        <v>3.428571428571428E-2</v>
      </c>
      <c r="AN35" s="2">
        <f t="shared" si="25"/>
        <v>1.3714285714285714E-2</v>
      </c>
      <c r="AO35" s="2">
        <f t="shared" si="26"/>
        <v>0.15085714285714286</v>
      </c>
      <c r="AP35" s="2">
        <f t="shared" si="27"/>
        <v>0</v>
      </c>
      <c r="AQ35" s="2">
        <f t="shared" si="28"/>
        <v>1.3714285714285714E-2</v>
      </c>
      <c r="AR35" s="2">
        <f t="shared" si="29"/>
        <v>3.428571428571428E-2</v>
      </c>
      <c r="AS35" s="2">
        <f t="shared" si="30"/>
        <v>2.057142857142857E-2</v>
      </c>
      <c r="AT35" s="2">
        <f t="shared" si="31"/>
        <v>2.057142857142857E-2</v>
      </c>
      <c r="AU35" s="2">
        <f t="shared" si="32"/>
        <v>6.8571428571428568E-3</v>
      </c>
      <c r="AV35" s="2">
        <f t="shared" si="33"/>
        <v>8.9142857142857149E-2</v>
      </c>
      <c r="AW35">
        <v>3024300</v>
      </c>
      <c r="AX35" s="33">
        <v>1474708000</v>
      </c>
      <c r="AY35" s="33">
        <f t="shared" si="34"/>
        <v>632034000</v>
      </c>
      <c r="AZ35">
        <v>1037525000</v>
      </c>
      <c r="BA35">
        <v>304522000</v>
      </c>
      <c r="BB35">
        <v>25560000</v>
      </c>
      <c r="BC35">
        <v>59836000</v>
      </c>
      <c r="BD35">
        <v>79292000</v>
      </c>
      <c r="BE35">
        <v>405491000</v>
      </c>
      <c r="BF35">
        <v>88029000</v>
      </c>
      <c r="BG35">
        <v>47844000</v>
      </c>
      <c r="BH35">
        <v>7630000</v>
      </c>
      <c r="BI35">
        <v>19322000</v>
      </c>
      <c r="BJ35">
        <v>70634000</v>
      </c>
      <c r="BK35">
        <v>14372000</v>
      </c>
      <c r="BL35">
        <v>366549000</v>
      </c>
      <c r="BM35">
        <v>88706000</v>
      </c>
      <c r="BN35" s="1">
        <f t="shared" ref="BN35:BN58" si="64">AZ35/$AX35</f>
        <v>0.70354605793146852</v>
      </c>
      <c r="BO35" s="1">
        <f t="shared" si="35"/>
        <v>0.20649647252201792</v>
      </c>
      <c r="BP35" s="1">
        <f t="shared" si="36"/>
        <v>1.7332244756250052E-2</v>
      </c>
      <c r="BQ35" s="1">
        <f t="shared" si="37"/>
        <v>4.0574812098395072E-2</v>
      </c>
      <c r="BR35" s="1">
        <f t="shared" si="38"/>
        <v>5.376793236355943E-2</v>
      </c>
      <c r="BS35" s="1">
        <f t="shared" si="39"/>
        <v>0.27496358601160364</v>
      </c>
      <c r="BT35" s="1">
        <f t="shared" si="40"/>
        <v>5.9692495056648504E-2</v>
      </c>
      <c r="BU35" s="1">
        <f t="shared" si="41"/>
        <v>3.2443032790220164E-2</v>
      </c>
      <c r="BV35" s="1">
        <f t="shared" si="42"/>
        <v>5.1739056138571165E-3</v>
      </c>
      <c r="BW35" s="1">
        <f t="shared" si="43"/>
        <v>1.3102254819259135E-2</v>
      </c>
      <c r="BX35" s="1">
        <f t="shared" si="44"/>
        <v>4.7896939597533883E-2</v>
      </c>
      <c r="BY35" s="1">
        <f t="shared" si="45"/>
        <v>9.7456581235064836E-3</v>
      </c>
      <c r="BZ35" s="1">
        <f t="shared" si="46"/>
        <v>0.24855700247099766</v>
      </c>
      <c r="CA35" s="1">
        <f t="shared" si="47"/>
        <v>6.015156898857265E-2</v>
      </c>
      <c r="CB35" s="2">
        <f t="shared" si="48"/>
        <v>0.16885105390355243</v>
      </c>
      <c r="CC35" s="2">
        <f t="shared" si="49"/>
        <v>4.9559153405284301E-2</v>
      </c>
      <c r="CD35" s="2">
        <f t="shared" si="50"/>
        <v>4.1597387415000121E-3</v>
      </c>
      <c r="CE35" s="2">
        <f t="shared" si="51"/>
        <v>9.7379549036148167E-3</v>
      </c>
      <c r="CF35" s="2">
        <f t="shared" si="52"/>
        <v>1.2904303767254263E-2</v>
      </c>
      <c r="CG35" s="2">
        <f t="shared" si="53"/>
        <v>6.5991260642784877E-2</v>
      </c>
      <c r="CH35" s="2">
        <f t="shared" si="54"/>
        <v>1.4326198813595641E-2</v>
      </c>
      <c r="CI35" s="2">
        <f t="shared" si="55"/>
        <v>7.7863278696528393E-3</v>
      </c>
      <c r="CJ35" s="2">
        <f t="shared" si="56"/>
        <v>1.2417373473257078E-3</v>
      </c>
      <c r="CK35" s="2">
        <f t="shared" si="57"/>
        <v>3.1445411566221925E-3</v>
      </c>
      <c r="CL35" s="2">
        <f t="shared" si="58"/>
        <v>1.1495265503408132E-2</v>
      </c>
      <c r="CM35" s="2">
        <f t="shared" si="59"/>
        <v>2.3389579496415559E-3</v>
      </c>
      <c r="CN35" s="2">
        <f t="shared" si="60"/>
        <v>5.9653680593039438E-2</v>
      </c>
      <c r="CO35" s="2">
        <f t="shared" si="61"/>
        <v>1.4436376557257435E-2</v>
      </c>
    </row>
    <row r="36" spans="1:93" x14ac:dyDescent="0.25">
      <c r="A36" s="29">
        <v>42</v>
      </c>
      <c r="B36" t="s">
        <v>164</v>
      </c>
      <c r="C36">
        <v>3056830</v>
      </c>
      <c r="D36">
        <v>4.5999999999999996</v>
      </c>
      <c r="E36">
        <v>2.1800000000000002</v>
      </c>
      <c r="F36">
        <v>700</v>
      </c>
      <c r="G36">
        <v>19500</v>
      </c>
      <c r="H36">
        <v>626400</v>
      </c>
      <c r="I36">
        <v>1246100</v>
      </c>
      <c r="J36">
        <v>1755300</v>
      </c>
      <c r="K36">
        <v>1424900</v>
      </c>
      <c r="L36">
        <v>5072900</v>
      </c>
      <c r="M36">
        <v>700</v>
      </c>
      <c r="N36">
        <v>14200</v>
      </c>
      <c r="O36">
        <v>322000</v>
      </c>
      <c r="P36">
        <v>911700</v>
      </c>
      <c r="Q36">
        <v>1647300</v>
      </c>
      <c r="R36">
        <v>1801300</v>
      </c>
      <c r="S36">
        <v>4697400</v>
      </c>
      <c r="T36">
        <f t="shared" si="62"/>
        <v>9770300</v>
      </c>
      <c r="U36" s="1">
        <f t="shared" si="63"/>
        <v>7.1645701769648831E-5</v>
      </c>
      <c r="V36" s="1">
        <f t="shared" ref="V36:V58" si="65">G36/$T36</f>
        <v>1.9958445492973603E-3</v>
      </c>
      <c r="W36" s="1">
        <f t="shared" ref="W36:W58" si="66">H36/$T36</f>
        <v>6.4112667983582894E-2</v>
      </c>
      <c r="X36" s="1">
        <f t="shared" ref="X36:X58" si="67">I36/$T36</f>
        <v>0.12753958425022774</v>
      </c>
      <c r="Y36" s="1">
        <f t="shared" ref="Y36:Y58" si="68">J36/$T36</f>
        <v>0.17965671473752085</v>
      </c>
      <c r="Z36" s="1">
        <f t="shared" ref="Z36:Z58" si="69">K36/$T36</f>
        <v>0.14583994350224661</v>
      </c>
      <c r="AA36" s="1">
        <f t="shared" ref="AA36:AA58" si="70">L36/$T36</f>
        <v>0.51921640072464514</v>
      </c>
      <c r="AB36" s="1">
        <f t="shared" ref="AB36:AB58" si="71">M36/$T36</f>
        <v>7.1645701769648831E-5</v>
      </c>
      <c r="AC36" s="1">
        <f t="shared" ref="AC36:AC58" si="72">N36/$T36</f>
        <v>1.4533842358985906E-3</v>
      </c>
      <c r="AD36" s="1">
        <f t="shared" ref="AD36:AD58" si="73">O36/$T36</f>
        <v>3.2957022814038464E-2</v>
      </c>
      <c r="AE36" s="1">
        <f t="shared" ref="AE36:AE58" si="74">P36/$T36</f>
        <v>9.3313409004841197E-2</v>
      </c>
      <c r="AF36" s="1">
        <f t="shared" ref="AF36:AF58" si="75">Q36/$T36</f>
        <v>0.16860280646448933</v>
      </c>
      <c r="AG36" s="1">
        <f t="shared" ref="AG36:AG58" si="76">R36/$T36</f>
        <v>0.18436486085381207</v>
      </c>
      <c r="AH36" s="1">
        <f t="shared" ref="AH36:AH58" si="77">S36/$T36</f>
        <v>0.48078359927535491</v>
      </c>
      <c r="AI36" s="2">
        <f t="shared" si="20"/>
        <v>1.5618762985783447E-4</v>
      </c>
      <c r="AJ36" s="2">
        <f t="shared" si="21"/>
        <v>4.3509411174682457E-3</v>
      </c>
      <c r="AK36" s="2">
        <f t="shared" si="22"/>
        <v>0.13976561620421071</v>
      </c>
      <c r="AL36" s="2">
        <f t="shared" si="23"/>
        <v>0.27803629366549648</v>
      </c>
      <c r="AM36" s="2">
        <f t="shared" si="24"/>
        <v>0.39165163812779547</v>
      </c>
      <c r="AN36" s="2">
        <f t="shared" si="25"/>
        <v>0.31793107683489763</v>
      </c>
      <c r="AO36" s="2">
        <f t="shared" si="26"/>
        <v>1.1318917535797266</v>
      </c>
      <c r="AP36" s="2">
        <f t="shared" si="27"/>
        <v>1.5618762985783447E-4</v>
      </c>
      <c r="AQ36" s="2">
        <f t="shared" si="28"/>
        <v>3.1683776342589279E-3</v>
      </c>
      <c r="AR36" s="2">
        <f t="shared" si="29"/>
        <v>7.1846309734603861E-2</v>
      </c>
      <c r="AS36" s="2">
        <f t="shared" si="30"/>
        <v>0.20342323163055381</v>
      </c>
      <c r="AT36" s="2">
        <f t="shared" si="31"/>
        <v>0.36755411809258676</v>
      </c>
      <c r="AU36" s="2">
        <f t="shared" si="32"/>
        <v>0.40191539666131032</v>
      </c>
      <c r="AV36" s="2">
        <f t="shared" si="33"/>
        <v>1.0481082464202738</v>
      </c>
      <c r="AW36">
        <v>603400</v>
      </c>
      <c r="AX36" s="33">
        <v>1565714000</v>
      </c>
      <c r="AY36" s="33">
        <f t="shared" si="34"/>
        <v>187683000</v>
      </c>
      <c r="AZ36">
        <v>844345000</v>
      </c>
      <c r="BA36">
        <v>62918000</v>
      </c>
      <c r="BB36">
        <v>16723000</v>
      </c>
      <c r="BC36">
        <v>10698000</v>
      </c>
      <c r="BD36">
        <v>13946000</v>
      </c>
      <c r="BE36">
        <v>656662000</v>
      </c>
      <c r="BF36">
        <v>25237000</v>
      </c>
      <c r="BG36">
        <v>36198000</v>
      </c>
      <c r="BH36">
        <v>20905000</v>
      </c>
      <c r="BI36">
        <v>1059000</v>
      </c>
      <c r="BJ36">
        <v>553335000</v>
      </c>
      <c r="BK36">
        <v>465129000</v>
      </c>
      <c r="BL36">
        <v>168034000</v>
      </c>
      <c r="BM36">
        <v>61617000</v>
      </c>
      <c r="BN36" s="1">
        <f t="shared" si="64"/>
        <v>0.53927154001305477</v>
      </c>
      <c r="BO36" s="1">
        <f t="shared" ref="BO36:BO58" si="78">BA36/$AX36</f>
        <v>4.0184861347602435E-2</v>
      </c>
      <c r="BP36" s="1">
        <f t="shared" ref="BP36:BP58" si="79">BB36/$AX36</f>
        <v>1.0680750124224475E-2</v>
      </c>
      <c r="BQ36" s="1">
        <f t="shared" ref="BQ36:BQ58" si="80">BC36/$AX36</f>
        <v>6.8326654804134086E-3</v>
      </c>
      <c r="BR36" s="1">
        <f t="shared" ref="BR36:BR58" si="81">BD36/$AX36</f>
        <v>8.9071184137077403E-3</v>
      </c>
      <c r="BS36" s="1">
        <f t="shared" ref="BS36:BS58" si="82">BE36/$AX36</f>
        <v>0.41940098894178629</v>
      </c>
      <c r="BT36" s="1">
        <f t="shared" ref="BT36:BT58" si="83">BF36/$AX36</f>
        <v>1.6118524839146869E-2</v>
      </c>
      <c r="BU36" s="1">
        <f t="shared" ref="BU36:BU58" si="84">BG36/$AX36</f>
        <v>2.3119164802767298E-2</v>
      </c>
      <c r="BV36" s="1">
        <f t="shared" ref="BV36:BV58" si="85">BH36/$AX36</f>
        <v>1.3351736013090513E-2</v>
      </c>
      <c r="BW36" s="1">
        <f t="shared" ref="BW36:BW58" si="86">BI36/$AX36</f>
        <v>6.763687365636381E-4</v>
      </c>
      <c r="BX36" s="1">
        <f t="shared" ref="BX36:BX58" si="87">BJ36/$AX36</f>
        <v>0.35340745500136039</v>
      </c>
      <c r="BY36" s="1">
        <f t="shared" ref="BY36:BY58" si="88">BK36/$AX36</f>
        <v>0.29707149581596637</v>
      </c>
      <c r="BZ36" s="1">
        <f t="shared" ref="BZ36:BZ58" si="89">BL36/$AX36</f>
        <v>0.10732100498558485</v>
      </c>
      <c r="CA36" s="1">
        <f t="shared" ref="CA36:CA58" si="90">BM36/$AX36</f>
        <v>3.935393053903842E-2</v>
      </c>
      <c r="CB36" s="2">
        <f t="shared" si="48"/>
        <v>1.1756119572284596</v>
      </c>
      <c r="CC36" s="2">
        <f t="shared" si="49"/>
        <v>8.7602997737773317E-2</v>
      </c>
      <c r="CD36" s="2">
        <f t="shared" si="50"/>
        <v>2.3284035270809359E-2</v>
      </c>
      <c r="CE36" s="2">
        <f t="shared" si="51"/>
        <v>1.4895210747301232E-2</v>
      </c>
      <c r="CF36" s="2">
        <f t="shared" si="52"/>
        <v>1.9417518141882875E-2</v>
      </c>
      <c r="CG36" s="2">
        <f t="shared" si="53"/>
        <v>0.91429415589309415</v>
      </c>
      <c r="CH36" s="2">
        <f t="shared" si="54"/>
        <v>3.5138384149340174E-2</v>
      </c>
      <c r="CI36" s="2">
        <f t="shared" si="55"/>
        <v>5.0399779270032717E-2</v>
      </c>
      <c r="CJ36" s="2">
        <f t="shared" si="56"/>
        <v>2.910678450853732E-2</v>
      </c>
      <c r="CK36" s="2">
        <f t="shared" si="57"/>
        <v>1.4744838457087311E-3</v>
      </c>
      <c r="CL36" s="2">
        <f t="shared" si="58"/>
        <v>0.77042825190296571</v>
      </c>
      <c r="CM36" s="2">
        <f t="shared" si="59"/>
        <v>0.64761586087880674</v>
      </c>
      <c r="CN36" s="2">
        <f t="shared" si="60"/>
        <v>0.23395979086857499</v>
      </c>
      <c r="CO36" s="2">
        <f t="shared" si="61"/>
        <v>8.5791568575103769E-2</v>
      </c>
    </row>
    <row r="37" spans="1:93" x14ac:dyDescent="0.25">
      <c r="A37" s="29">
        <v>46</v>
      </c>
      <c r="B37" t="s">
        <v>223</v>
      </c>
      <c r="C37">
        <v>604162</v>
      </c>
      <c r="D37">
        <v>0.91</v>
      </c>
      <c r="E37">
        <v>4.3</v>
      </c>
      <c r="F37">
        <v>5600</v>
      </c>
      <c r="G37">
        <v>48300</v>
      </c>
      <c r="H37">
        <v>205700</v>
      </c>
      <c r="I37">
        <v>184100</v>
      </c>
      <c r="J37">
        <v>158900</v>
      </c>
      <c r="K37">
        <v>111300</v>
      </c>
      <c r="L37">
        <v>714000</v>
      </c>
      <c r="M37">
        <v>5100</v>
      </c>
      <c r="N37">
        <v>48000</v>
      </c>
      <c r="O37">
        <v>125900</v>
      </c>
      <c r="P37">
        <v>114500</v>
      </c>
      <c r="Q37">
        <v>116300</v>
      </c>
      <c r="R37">
        <v>124700</v>
      </c>
      <c r="S37">
        <v>534500</v>
      </c>
      <c r="T37">
        <f t="shared" si="62"/>
        <v>1248500</v>
      </c>
      <c r="U37" s="1">
        <f t="shared" si="63"/>
        <v>4.4853824589507407E-3</v>
      </c>
      <c r="V37" s="1">
        <f t="shared" si="65"/>
        <v>3.8686423708450143E-2</v>
      </c>
      <c r="W37" s="1">
        <f t="shared" si="66"/>
        <v>0.16475770925110131</v>
      </c>
      <c r="X37" s="1">
        <f t="shared" si="67"/>
        <v>0.1474569483380056</v>
      </c>
      <c r="Y37" s="1">
        <f t="shared" si="68"/>
        <v>0.12727272727272726</v>
      </c>
      <c r="Z37" s="1">
        <f t="shared" si="69"/>
        <v>8.9146976371645981E-2</v>
      </c>
      <c r="AA37" s="1">
        <f t="shared" si="70"/>
        <v>0.57188626351621952</v>
      </c>
      <c r="AB37" s="1">
        <f t="shared" si="71"/>
        <v>4.0849018822587107E-3</v>
      </c>
      <c r="AC37" s="1">
        <f t="shared" si="72"/>
        <v>3.8446135362434922E-2</v>
      </c>
      <c r="AD37" s="1">
        <f t="shared" si="73"/>
        <v>0.10084100921105327</v>
      </c>
      <c r="AE37" s="1">
        <f t="shared" si="74"/>
        <v>9.171005206247497E-2</v>
      </c>
      <c r="AF37" s="1">
        <f t="shared" si="75"/>
        <v>9.3151782138566286E-2</v>
      </c>
      <c r="AG37" s="1">
        <f t="shared" si="76"/>
        <v>9.9879855826992395E-2</v>
      </c>
      <c r="AH37" s="1">
        <f t="shared" si="77"/>
        <v>0.42811373648378054</v>
      </c>
      <c r="AI37" s="2">
        <f t="shared" si="20"/>
        <v>1.9287144573488183E-2</v>
      </c>
      <c r="AJ37" s="2">
        <f t="shared" si="21"/>
        <v>0.1663516219463356</v>
      </c>
      <c r="AK37" s="2">
        <f t="shared" si="22"/>
        <v>0.70845814977973565</v>
      </c>
      <c r="AL37" s="2">
        <f t="shared" si="23"/>
        <v>0.63406487785342402</v>
      </c>
      <c r="AM37" s="2">
        <f t="shared" si="24"/>
        <v>0.54727272727272724</v>
      </c>
      <c r="AN37" s="2">
        <f t="shared" si="25"/>
        <v>0.38333199839807769</v>
      </c>
      <c r="AO37" s="2">
        <f t="shared" si="26"/>
        <v>2.4591109331197436</v>
      </c>
      <c r="AP37" s="2">
        <f t="shared" si="27"/>
        <v>1.7565078093712456E-2</v>
      </c>
      <c r="AQ37" s="2">
        <f t="shared" si="28"/>
        <v>0.16531838205847016</v>
      </c>
      <c r="AR37" s="2">
        <f t="shared" si="29"/>
        <v>0.43361633960752904</v>
      </c>
      <c r="AS37" s="2">
        <f t="shared" si="30"/>
        <v>0.39435322386864236</v>
      </c>
      <c r="AT37" s="2">
        <f t="shared" si="31"/>
        <v>0.40055266319583499</v>
      </c>
      <c r="AU37" s="2">
        <f t="shared" si="32"/>
        <v>0.42948338005606729</v>
      </c>
      <c r="AV37" s="2">
        <f t="shared" si="33"/>
        <v>1.8408890668802562</v>
      </c>
      <c r="AW37">
        <v>1732800</v>
      </c>
      <c r="AX37" s="33">
        <v>3435492000</v>
      </c>
      <c r="AY37" s="33">
        <f t="shared" si="34"/>
        <v>1567345000</v>
      </c>
      <c r="AZ37">
        <v>2786879000</v>
      </c>
      <c r="BA37">
        <v>220471000</v>
      </c>
      <c r="BB37">
        <v>312381000</v>
      </c>
      <c r="BC37">
        <v>179002000</v>
      </c>
      <c r="BD37">
        <v>86695000</v>
      </c>
      <c r="BE37">
        <v>1219534000</v>
      </c>
      <c r="BF37">
        <v>435700000</v>
      </c>
      <c r="BG37">
        <v>55811000</v>
      </c>
      <c r="BH37">
        <v>265534000</v>
      </c>
      <c r="BI37">
        <v>11750000</v>
      </c>
      <c r="BJ37">
        <v>276039000</v>
      </c>
      <c r="BK37">
        <v>134583000</v>
      </c>
      <c r="BL37">
        <v>372574000</v>
      </c>
      <c r="BM37">
        <v>90652000</v>
      </c>
      <c r="BN37" s="1">
        <f t="shared" si="64"/>
        <v>0.81120229649785247</v>
      </c>
      <c r="BO37" s="1">
        <f t="shared" si="78"/>
        <v>6.4174505427461337E-2</v>
      </c>
      <c r="BP37" s="1">
        <f t="shared" si="79"/>
        <v>9.0927587664299606E-2</v>
      </c>
      <c r="BQ37" s="1">
        <f t="shared" si="80"/>
        <v>5.2103745256865681E-2</v>
      </c>
      <c r="BR37" s="1">
        <f t="shared" si="81"/>
        <v>2.5235104608015389E-2</v>
      </c>
      <c r="BS37" s="1">
        <f t="shared" si="82"/>
        <v>0.35498088774475389</v>
      </c>
      <c r="BT37" s="1">
        <f t="shared" si="83"/>
        <v>0.12682317408976648</v>
      </c>
      <c r="BU37" s="1">
        <f t="shared" si="84"/>
        <v>1.6245416959201186E-2</v>
      </c>
      <c r="BV37" s="1">
        <f t="shared" si="85"/>
        <v>7.7291403967757744E-2</v>
      </c>
      <c r="BW37" s="1">
        <f t="shared" si="86"/>
        <v>3.4201797006076567E-3</v>
      </c>
      <c r="BX37" s="1">
        <f t="shared" si="87"/>
        <v>8.0349190159662714E-2</v>
      </c>
      <c r="BY37" s="1">
        <f t="shared" si="88"/>
        <v>3.9174301672074918E-2</v>
      </c>
      <c r="BZ37" s="1">
        <f t="shared" si="89"/>
        <v>0.10844851334248486</v>
      </c>
      <c r="CA37" s="1">
        <f t="shared" si="90"/>
        <v>2.6386904699530665E-2</v>
      </c>
      <c r="CB37" s="2">
        <f t="shared" si="48"/>
        <v>3.4881698749407657</v>
      </c>
      <c r="CC37" s="2">
        <f t="shared" si="49"/>
        <v>0.27595037333808375</v>
      </c>
      <c r="CD37" s="2">
        <f t="shared" si="50"/>
        <v>0.39098862695648828</v>
      </c>
      <c r="CE37" s="2">
        <f t="shared" si="51"/>
        <v>0.22404610460452243</v>
      </c>
      <c r="CF37" s="2">
        <f t="shared" si="52"/>
        <v>0.10851094981446617</v>
      </c>
      <c r="CG37" s="2">
        <f t="shared" si="53"/>
        <v>1.5264178173024416</v>
      </c>
      <c r="CH37" s="2">
        <f t="shared" si="54"/>
        <v>0.54533964858599582</v>
      </c>
      <c r="CI37" s="2">
        <f t="shared" si="55"/>
        <v>6.9855292924565091E-2</v>
      </c>
      <c r="CJ37" s="2">
        <f t="shared" si="56"/>
        <v>0.33235303706135827</v>
      </c>
      <c r="CK37" s="2">
        <f t="shared" si="57"/>
        <v>1.4706772712612923E-2</v>
      </c>
      <c r="CL37" s="2">
        <f t="shared" si="58"/>
        <v>0.34550151768654963</v>
      </c>
      <c r="CM37" s="2">
        <f t="shared" si="59"/>
        <v>0.16844949718992214</v>
      </c>
      <c r="CN37" s="2">
        <f t="shared" si="60"/>
        <v>0.46632860737268489</v>
      </c>
      <c r="CO37" s="2">
        <f t="shared" si="61"/>
        <v>0.11346369020798186</v>
      </c>
    </row>
    <row r="38" spans="1:93" x14ac:dyDescent="0.25">
      <c r="A38" s="29">
        <v>53</v>
      </c>
      <c r="B38" t="s">
        <v>31</v>
      </c>
      <c r="C38">
        <v>1265621</v>
      </c>
      <c r="D38">
        <v>3.7</v>
      </c>
      <c r="E38">
        <v>8.48</v>
      </c>
      <c r="F38">
        <v>325700</v>
      </c>
      <c r="G38">
        <v>0</v>
      </c>
      <c r="H38">
        <v>0</v>
      </c>
      <c r="I38">
        <v>0</v>
      </c>
      <c r="J38">
        <v>0</v>
      </c>
      <c r="K38">
        <v>0</v>
      </c>
      <c r="L38">
        <v>325700</v>
      </c>
      <c r="M38">
        <v>314100</v>
      </c>
      <c r="N38">
        <v>1724700</v>
      </c>
      <c r="O38">
        <v>637800</v>
      </c>
      <c r="P38">
        <v>0</v>
      </c>
      <c r="Q38">
        <v>0</v>
      </c>
      <c r="R38">
        <v>0</v>
      </c>
      <c r="S38">
        <v>2676600</v>
      </c>
      <c r="T38">
        <f t="shared" si="62"/>
        <v>3002300</v>
      </c>
      <c r="U38" s="1">
        <f t="shared" si="63"/>
        <v>0.10848349598641042</v>
      </c>
      <c r="V38" s="1">
        <f t="shared" si="65"/>
        <v>0</v>
      </c>
      <c r="W38" s="1">
        <f t="shared" si="66"/>
        <v>0</v>
      </c>
      <c r="X38" s="1">
        <f t="shared" si="67"/>
        <v>0</v>
      </c>
      <c r="Y38" s="1">
        <f t="shared" si="68"/>
        <v>0</v>
      </c>
      <c r="Z38" s="1">
        <f t="shared" si="69"/>
        <v>0</v>
      </c>
      <c r="AA38" s="1">
        <f t="shared" si="70"/>
        <v>0.10848349598641042</v>
      </c>
      <c r="AB38" s="1">
        <f t="shared" si="71"/>
        <v>0.10461979149318855</v>
      </c>
      <c r="AC38" s="1">
        <f t="shared" si="72"/>
        <v>0.57445958098790928</v>
      </c>
      <c r="AD38" s="1">
        <f t="shared" si="73"/>
        <v>0.21243713153249175</v>
      </c>
      <c r="AE38" s="1">
        <f t="shared" si="74"/>
        <v>0</v>
      </c>
      <c r="AF38" s="1">
        <f t="shared" si="75"/>
        <v>0</v>
      </c>
      <c r="AG38" s="1">
        <f t="shared" si="76"/>
        <v>0</v>
      </c>
      <c r="AH38" s="1">
        <f t="shared" si="77"/>
        <v>0.89151650401358962</v>
      </c>
      <c r="AI38" s="2">
        <f t="shared" si="20"/>
        <v>0.91994004596476042</v>
      </c>
      <c r="AJ38" s="2">
        <f t="shared" si="21"/>
        <v>0</v>
      </c>
      <c r="AK38" s="2">
        <f t="shared" si="22"/>
        <v>0</v>
      </c>
      <c r="AL38" s="2">
        <f t="shared" si="23"/>
        <v>0</v>
      </c>
      <c r="AM38" s="2">
        <f t="shared" si="24"/>
        <v>0</v>
      </c>
      <c r="AN38" s="2">
        <f t="shared" si="25"/>
        <v>0</v>
      </c>
      <c r="AO38" s="2">
        <f t="shared" si="26"/>
        <v>0.91994004596476042</v>
      </c>
      <c r="AP38" s="2">
        <f t="shared" si="27"/>
        <v>0.88717583186223892</v>
      </c>
      <c r="AQ38" s="2">
        <f t="shared" si="28"/>
        <v>4.8714172467774706</v>
      </c>
      <c r="AR38" s="2">
        <f t="shared" si="29"/>
        <v>1.8014668753955301</v>
      </c>
      <c r="AS38" s="2">
        <f t="shared" si="30"/>
        <v>0</v>
      </c>
      <c r="AT38" s="2">
        <f t="shared" si="31"/>
        <v>0</v>
      </c>
      <c r="AU38" s="2">
        <f t="shared" si="32"/>
        <v>0</v>
      </c>
      <c r="AV38" s="2">
        <f t="shared" si="33"/>
        <v>7.56005995403524</v>
      </c>
      <c r="AW38">
        <v>52300</v>
      </c>
      <c r="AX38" s="33">
        <v>108827000</v>
      </c>
      <c r="AY38" s="33">
        <f t="shared" si="34"/>
        <v>28265000</v>
      </c>
      <c r="AZ38">
        <v>43729000</v>
      </c>
      <c r="BA38">
        <v>9549000</v>
      </c>
      <c r="BB38">
        <v>3059000</v>
      </c>
      <c r="BC38">
        <v>2630000</v>
      </c>
      <c r="BD38">
        <v>1069000</v>
      </c>
      <c r="BE38">
        <v>15464000</v>
      </c>
      <c r="BF38">
        <v>5524000</v>
      </c>
      <c r="BG38">
        <v>1545000</v>
      </c>
      <c r="BH38">
        <v>4636000</v>
      </c>
      <c r="BI38">
        <v>252000</v>
      </c>
      <c r="BJ38">
        <v>14020000</v>
      </c>
      <c r="BK38">
        <v>1644000</v>
      </c>
      <c r="BL38">
        <v>51079000</v>
      </c>
      <c r="BM38">
        <v>2462000</v>
      </c>
      <c r="BN38" s="1">
        <f t="shared" si="64"/>
        <v>0.40182123921453317</v>
      </c>
      <c r="BO38" s="1">
        <f t="shared" si="78"/>
        <v>8.77447692208735E-2</v>
      </c>
      <c r="BP38" s="1">
        <f t="shared" si="79"/>
        <v>2.8108833285857369E-2</v>
      </c>
      <c r="BQ38" s="1">
        <f t="shared" si="80"/>
        <v>2.4166796842695286E-2</v>
      </c>
      <c r="BR38" s="1">
        <f t="shared" si="81"/>
        <v>9.8229299714225338E-3</v>
      </c>
      <c r="BS38" s="1">
        <f t="shared" si="82"/>
        <v>0.14209708987659311</v>
      </c>
      <c r="BT38" s="1">
        <f t="shared" si="83"/>
        <v>5.0759462265798007E-2</v>
      </c>
      <c r="BU38" s="1">
        <f t="shared" si="84"/>
        <v>1.4196844533066242E-2</v>
      </c>
      <c r="BV38" s="1">
        <f t="shared" si="85"/>
        <v>4.2599722495336632E-2</v>
      </c>
      <c r="BW38" s="1">
        <f t="shared" si="86"/>
        <v>2.3156018267525523E-3</v>
      </c>
      <c r="BX38" s="1">
        <f t="shared" si="87"/>
        <v>0.1288283238534555</v>
      </c>
      <c r="BY38" s="1">
        <f t="shared" si="88"/>
        <v>1.5106545250719031E-2</v>
      </c>
      <c r="BZ38" s="1">
        <f t="shared" si="89"/>
        <v>0.46935962582814927</v>
      </c>
      <c r="CA38" s="1">
        <f t="shared" si="90"/>
        <v>2.262306229152692E-2</v>
      </c>
      <c r="CB38" s="2">
        <f t="shared" si="48"/>
        <v>3.4074441085392415</v>
      </c>
      <c r="CC38" s="2">
        <f t="shared" si="49"/>
        <v>0.74407564299300732</v>
      </c>
      <c r="CD38" s="2">
        <f t="shared" si="50"/>
        <v>0.2383629062640705</v>
      </c>
      <c r="CE38" s="2">
        <f t="shared" si="51"/>
        <v>0.20493443722605603</v>
      </c>
      <c r="CF38" s="2">
        <f t="shared" si="52"/>
        <v>8.3298446157663089E-2</v>
      </c>
      <c r="CG38" s="2">
        <f t="shared" si="53"/>
        <v>1.2049833221535096</v>
      </c>
      <c r="CH38" s="2">
        <f t="shared" si="54"/>
        <v>0.43044024001396713</v>
      </c>
      <c r="CI38" s="2">
        <f t="shared" si="55"/>
        <v>0.12038924164040174</v>
      </c>
      <c r="CJ38" s="2">
        <f t="shared" si="56"/>
        <v>0.36124564676045468</v>
      </c>
      <c r="CK38" s="2">
        <f t="shared" si="57"/>
        <v>1.9636303490861644E-2</v>
      </c>
      <c r="CL38" s="2">
        <f t="shared" si="58"/>
        <v>1.0924641862773026</v>
      </c>
      <c r="CM38" s="2">
        <f t="shared" si="59"/>
        <v>0.12810350372609738</v>
      </c>
      <c r="CN38" s="2">
        <f t="shared" si="60"/>
        <v>3.9801696270227058</v>
      </c>
      <c r="CO38" s="2">
        <f t="shared" si="61"/>
        <v>0.19184356823214829</v>
      </c>
    </row>
    <row r="39" spans="1:93" x14ac:dyDescent="0.25">
      <c r="A39" s="29">
        <v>22</v>
      </c>
      <c r="B39" t="s">
        <v>32</v>
      </c>
      <c r="C39">
        <v>132039</v>
      </c>
      <c r="D39">
        <v>0.2</v>
      </c>
      <c r="E39">
        <v>0.56000000000000005</v>
      </c>
      <c r="F39">
        <v>17000</v>
      </c>
      <c r="G39">
        <v>25900</v>
      </c>
      <c r="H39">
        <v>27800</v>
      </c>
      <c r="I39">
        <v>14200</v>
      </c>
      <c r="J39">
        <v>7000</v>
      </c>
      <c r="K39">
        <v>1900</v>
      </c>
      <c r="L39">
        <v>94000</v>
      </c>
      <c r="M39">
        <v>10600</v>
      </c>
      <c r="N39">
        <v>19200</v>
      </c>
      <c r="O39">
        <v>23400</v>
      </c>
      <c r="P39">
        <v>13000</v>
      </c>
      <c r="Q39">
        <v>7200</v>
      </c>
      <c r="R39">
        <v>2700</v>
      </c>
      <c r="S39">
        <v>76000</v>
      </c>
      <c r="T39">
        <f t="shared" si="62"/>
        <v>170000</v>
      </c>
      <c r="U39" s="1">
        <f t="shared" si="63"/>
        <v>0.1</v>
      </c>
      <c r="V39" s="1">
        <f t="shared" si="65"/>
        <v>0.15235294117647058</v>
      </c>
      <c r="W39" s="1">
        <f t="shared" si="66"/>
        <v>0.1635294117647059</v>
      </c>
      <c r="X39" s="1">
        <f t="shared" si="67"/>
        <v>8.352941176470588E-2</v>
      </c>
      <c r="Y39" s="1">
        <f t="shared" si="68"/>
        <v>4.1176470588235294E-2</v>
      </c>
      <c r="Z39" s="1">
        <f t="shared" si="69"/>
        <v>1.1176470588235295E-2</v>
      </c>
      <c r="AA39" s="1">
        <f t="shared" si="70"/>
        <v>0.55294117647058827</v>
      </c>
      <c r="AB39" s="1">
        <f t="shared" si="71"/>
        <v>6.235294117647059E-2</v>
      </c>
      <c r="AC39" s="1">
        <f t="shared" si="72"/>
        <v>0.11294117647058824</v>
      </c>
      <c r="AD39" s="1">
        <f t="shared" si="73"/>
        <v>0.1376470588235294</v>
      </c>
      <c r="AE39" s="1">
        <f t="shared" si="74"/>
        <v>7.6470588235294124E-2</v>
      </c>
      <c r="AF39" s="1">
        <f t="shared" si="75"/>
        <v>4.2352941176470586E-2</v>
      </c>
      <c r="AG39" s="1">
        <f t="shared" si="76"/>
        <v>1.5882352941176469E-2</v>
      </c>
      <c r="AH39" s="1">
        <f t="shared" si="77"/>
        <v>0.44705882352941179</v>
      </c>
      <c r="AI39" s="2">
        <f t="shared" si="20"/>
        <v>5.6000000000000008E-2</v>
      </c>
      <c r="AJ39" s="2">
        <f t="shared" si="21"/>
        <v>8.531764705882354E-2</v>
      </c>
      <c r="AK39" s="2">
        <f t="shared" si="22"/>
        <v>9.1576470588235315E-2</v>
      </c>
      <c r="AL39" s="2">
        <f t="shared" si="23"/>
        <v>4.6776470588235294E-2</v>
      </c>
      <c r="AM39" s="2">
        <f t="shared" si="24"/>
        <v>2.3058823529411767E-2</v>
      </c>
      <c r="AN39" s="2">
        <f t="shared" si="25"/>
        <v>6.2588235294117655E-3</v>
      </c>
      <c r="AO39" s="2">
        <f t="shared" si="26"/>
        <v>0.30964705882352944</v>
      </c>
      <c r="AP39" s="2">
        <f t="shared" si="27"/>
        <v>3.4917647058823532E-2</v>
      </c>
      <c r="AQ39" s="2">
        <f t="shared" si="28"/>
        <v>6.324705882352942E-2</v>
      </c>
      <c r="AR39" s="2">
        <f t="shared" si="29"/>
        <v>7.7082352941176477E-2</v>
      </c>
      <c r="AS39" s="2">
        <f t="shared" si="30"/>
        <v>4.2823529411764712E-2</v>
      </c>
      <c r="AT39" s="2">
        <f t="shared" si="31"/>
        <v>2.3717647058823531E-2</v>
      </c>
      <c r="AU39" s="2">
        <f t="shared" si="32"/>
        <v>8.8941176470588232E-3</v>
      </c>
      <c r="AV39" s="2">
        <f t="shared" si="33"/>
        <v>0.25035294117647061</v>
      </c>
      <c r="AW39">
        <v>1259600</v>
      </c>
      <c r="AX39" s="33">
        <v>8466137000</v>
      </c>
      <c r="AY39" s="33">
        <f t="shared" si="34"/>
        <v>1124098000</v>
      </c>
      <c r="AZ39">
        <v>1234565000</v>
      </c>
      <c r="BA39">
        <v>296892000</v>
      </c>
      <c r="BB39">
        <v>24292000</v>
      </c>
      <c r="BC39">
        <v>26057000</v>
      </c>
      <c r="BD39">
        <v>384806000</v>
      </c>
      <c r="BE39">
        <v>110467000</v>
      </c>
      <c r="BF39">
        <v>119293000</v>
      </c>
      <c r="BG39">
        <v>264439000</v>
      </c>
      <c r="BH39">
        <v>6796000</v>
      </c>
      <c r="BI39">
        <v>1523000</v>
      </c>
      <c r="BJ39">
        <v>3619288000</v>
      </c>
      <c r="BK39">
        <v>3266925000</v>
      </c>
      <c r="BL39">
        <v>3612284000</v>
      </c>
      <c r="BM39">
        <v>559340000</v>
      </c>
      <c r="BN39" s="1">
        <f t="shared" si="64"/>
        <v>0.1458238863840734</v>
      </c>
      <c r="BO39" s="1">
        <f t="shared" si="78"/>
        <v>3.5068178084054158E-2</v>
      </c>
      <c r="BP39" s="1">
        <f t="shared" si="79"/>
        <v>2.8693133598003432E-3</v>
      </c>
      <c r="BQ39" s="1">
        <f t="shared" si="80"/>
        <v>3.0777909688917155E-3</v>
      </c>
      <c r="BR39" s="1">
        <f t="shared" si="81"/>
        <v>4.5452371016438786E-2</v>
      </c>
      <c r="BS39" s="1">
        <f t="shared" si="82"/>
        <v>1.3048099741357835E-2</v>
      </c>
      <c r="BT39" s="1">
        <f t="shared" si="83"/>
        <v>1.4090605904440242E-2</v>
      </c>
      <c r="BU39" s="1">
        <f t="shared" si="84"/>
        <v>3.1234906782160506E-2</v>
      </c>
      <c r="BV39" s="1">
        <f t="shared" si="85"/>
        <v>8.0272738322094243E-4</v>
      </c>
      <c r="BW39" s="1">
        <f t="shared" si="86"/>
        <v>1.7989314370887217E-4</v>
      </c>
      <c r="BX39" s="1">
        <f t="shared" si="87"/>
        <v>0.42750170473263072</v>
      </c>
      <c r="BY39" s="1">
        <f t="shared" si="88"/>
        <v>0.38588142384183011</v>
      </c>
      <c r="BZ39" s="1">
        <f t="shared" si="89"/>
        <v>0.42667440888329589</v>
      </c>
      <c r="CA39" s="1">
        <f t="shared" si="90"/>
        <v>6.6067912673749549E-2</v>
      </c>
      <c r="CB39" s="2">
        <f t="shared" si="48"/>
        <v>8.1661376375081113E-2</v>
      </c>
      <c r="CC39" s="2">
        <f t="shared" si="49"/>
        <v>1.963817972707033E-2</v>
      </c>
      <c r="CD39" s="2">
        <f t="shared" si="50"/>
        <v>1.6068154814881924E-3</v>
      </c>
      <c r="CE39" s="2">
        <f t="shared" si="51"/>
        <v>1.7235629425793608E-3</v>
      </c>
      <c r="CF39" s="2">
        <f t="shared" si="52"/>
        <v>2.5453327769205721E-2</v>
      </c>
      <c r="CG39" s="2">
        <f t="shared" si="53"/>
        <v>7.3069358551603883E-3</v>
      </c>
      <c r="CH39" s="2">
        <f t="shared" si="54"/>
        <v>7.8907393064865366E-3</v>
      </c>
      <c r="CI39" s="2">
        <f t="shared" si="55"/>
        <v>1.7491547798009884E-2</v>
      </c>
      <c r="CJ39" s="2">
        <f t="shared" si="56"/>
        <v>4.4952733460372783E-4</v>
      </c>
      <c r="CK39" s="2">
        <f t="shared" si="57"/>
        <v>1.0074016047696843E-4</v>
      </c>
      <c r="CL39" s="2">
        <f t="shared" si="58"/>
        <v>0.23940095465027322</v>
      </c>
      <c r="CM39" s="2">
        <f t="shared" si="59"/>
        <v>0.21609359735142489</v>
      </c>
      <c r="CN39" s="2">
        <f t="shared" si="60"/>
        <v>0.23893766897464572</v>
      </c>
      <c r="CO39" s="2">
        <f t="shared" si="61"/>
        <v>3.6998031097299752E-2</v>
      </c>
    </row>
    <row r="40" spans="1:93" x14ac:dyDescent="0.25">
      <c r="A40" s="29">
        <v>26</v>
      </c>
      <c r="B40" t="s">
        <v>33</v>
      </c>
      <c r="C40">
        <v>115498</v>
      </c>
      <c r="D40">
        <v>0.17</v>
      </c>
      <c r="E40">
        <v>1.2</v>
      </c>
      <c r="F40">
        <v>0</v>
      </c>
      <c r="G40">
        <v>4100</v>
      </c>
      <c r="H40">
        <v>14100</v>
      </c>
      <c r="I40">
        <v>7300</v>
      </c>
      <c r="J40">
        <v>4900</v>
      </c>
      <c r="K40">
        <v>1600</v>
      </c>
      <c r="L40">
        <v>32200</v>
      </c>
      <c r="M40">
        <v>0</v>
      </c>
      <c r="N40">
        <v>10500</v>
      </c>
      <c r="O40">
        <v>36200</v>
      </c>
      <c r="P40">
        <v>18800</v>
      </c>
      <c r="Q40">
        <v>11900</v>
      </c>
      <c r="R40">
        <v>4900</v>
      </c>
      <c r="S40">
        <v>82400</v>
      </c>
      <c r="T40">
        <f t="shared" si="62"/>
        <v>114600</v>
      </c>
      <c r="U40" s="1">
        <f t="shared" si="63"/>
        <v>0</v>
      </c>
      <c r="V40" s="1">
        <f t="shared" si="65"/>
        <v>3.5776614310645723E-2</v>
      </c>
      <c r="W40" s="1">
        <f t="shared" si="66"/>
        <v>0.12303664921465969</v>
      </c>
      <c r="X40" s="1">
        <f t="shared" si="67"/>
        <v>6.3699825479930194E-2</v>
      </c>
      <c r="Y40" s="1">
        <f t="shared" si="68"/>
        <v>4.2757417102966842E-2</v>
      </c>
      <c r="Z40" s="1">
        <f t="shared" si="69"/>
        <v>1.3961605584642234E-2</v>
      </c>
      <c r="AA40" s="1">
        <f t="shared" si="70"/>
        <v>0.28097731239092494</v>
      </c>
      <c r="AB40" s="1">
        <f t="shared" si="71"/>
        <v>0</v>
      </c>
      <c r="AC40" s="1">
        <f t="shared" si="72"/>
        <v>9.1623036649214659E-2</v>
      </c>
      <c r="AD40" s="1">
        <f t="shared" si="73"/>
        <v>0.31588132635253052</v>
      </c>
      <c r="AE40" s="1">
        <f t="shared" si="74"/>
        <v>0.16404886561954624</v>
      </c>
      <c r="AF40" s="1">
        <f t="shared" si="75"/>
        <v>0.10383944153577661</v>
      </c>
      <c r="AG40" s="1">
        <f t="shared" si="76"/>
        <v>4.2757417102966842E-2</v>
      </c>
      <c r="AH40" s="1">
        <f t="shared" si="77"/>
        <v>0.71902268760907506</v>
      </c>
      <c r="AI40" s="2">
        <f t="shared" si="20"/>
        <v>0</v>
      </c>
      <c r="AJ40" s="2">
        <f t="shared" si="21"/>
        <v>4.2931937172774867E-2</v>
      </c>
      <c r="AK40" s="2">
        <f t="shared" si="22"/>
        <v>0.14764397905759163</v>
      </c>
      <c r="AL40" s="2">
        <f t="shared" si="23"/>
        <v>7.6439790575916225E-2</v>
      </c>
      <c r="AM40" s="2">
        <f t="shared" si="24"/>
        <v>5.1308900523560207E-2</v>
      </c>
      <c r="AN40" s="2">
        <f t="shared" si="25"/>
        <v>1.6753926701570679E-2</v>
      </c>
      <c r="AO40" s="2">
        <f t="shared" si="26"/>
        <v>0.3371727748691099</v>
      </c>
      <c r="AP40" s="2">
        <f t="shared" si="27"/>
        <v>0</v>
      </c>
      <c r="AQ40" s="2">
        <f t="shared" si="28"/>
        <v>0.10994764397905758</v>
      </c>
      <c r="AR40" s="2">
        <f t="shared" si="29"/>
        <v>0.37905759162303659</v>
      </c>
      <c r="AS40" s="2">
        <f t="shared" si="30"/>
        <v>0.19685863874345547</v>
      </c>
      <c r="AT40" s="2">
        <f t="shared" si="31"/>
        <v>0.12460732984293192</v>
      </c>
      <c r="AU40" s="2">
        <f t="shared" si="32"/>
        <v>5.1308900523560207E-2</v>
      </c>
      <c r="AV40" s="2">
        <f t="shared" si="33"/>
        <v>0.86282722513089005</v>
      </c>
      <c r="AW40">
        <v>114500</v>
      </c>
      <c r="AX40" s="33">
        <v>1298346000</v>
      </c>
      <c r="AY40" s="33">
        <f t="shared" si="34"/>
        <v>250916000</v>
      </c>
      <c r="AZ40">
        <v>807220000</v>
      </c>
      <c r="BA40">
        <v>26964000</v>
      </c>
      <c r="BB40">
        <v>39737000</v>
      </c>
      <c r="BC40">
        <v>48723000</v>
      </c>
      <c r="BD40">
        <v>8046000</v>
      </c>
      <c r="BE40">
        <v>556304000</v>
      </c>
      <c r="BF40">
        <v>66931000</v>
      </c>
      <c r="BG40">
        <v>6365000</v>
      </c>
      <c r="BH40">
        <v>53457000</v>
      </c>
      <c r="BI40">
        <v>692000</v>
      </c>
      <c r="BJ40">
        <v>286829000</v>
      </c>
      <c r="BK40">
        <v>183076000</v>
      </c>
      <c r="BL40">
        <v>204297000</v>
      </c>
      <c r="BM40">
        <v>23894000</v>
      </c>
      <c r="BN40" s="1">
        <f t="shared" si="64"/>
        <v>0.62172949275462785</v>
      </c>
      <c r="BO40" s="1">
        <f t="shared" si="78"/>
        <v>2.0767961698961602E-2</v>
      </c>
      <c r="BP40" s="1">
        <f t="shared" si="79"/>
        <v>3.0605863152041137E-2</v>
      </c>
      <c r="BQ40" s="1">
        <f t="shared" si="80"/>
        <v>3.7526976630266509E-2</v>
      </c>
      <c r="BR40" s="1">
        <f t="shared" si="81"/>
        <v>6.1971154068330018E-3</v>
      </c>
      <c r="BS40" s="1">
        <f t="shared" si="82"/>
        <v>0.42847130117857646</v>
      </c>
      <c r="BT40" s="1">
        <f t="shared" si="83"/>
        <v>5.1550973315279594E-2</v>
      </c>
      <c r="BU40" s="1">
        <f t="shared" si="84"/>
        <v>4.9023911961834522E-3</v>
      </c>
      <c r="BV40" s="1">
        <f t="shared" si="85"/>
        <v>4.1173154151512771E-2</v>
      </c>
      <c r="BW40" s="1">
        <f t="shared" si="86"/>
        <v>5.3298581425906505E-4</v>
      </c>
      <c r="BX40" s="1">
        <f t="shared" si="87"/>
        <v>0.2209187689568112</v>
      </c>
      <c r="BY40" s="1">
        <f t="shared" si="88"/>
        <v>0.14100709672152106</v>
      </c>
      <c r="BZ40" s="1">
        <f t="shared" si="89"/>
        <v>0.15735173828856097</v>
      </c>
      <c r="CA40" s="1">
        <f t="shared" si="90"/>
        <v>1.8403414806222686E-2</v>
      </c>
      <c r="CB40" s="2">
        <f t="shared" si="48"/>
        <v>0.74607539130555345</v>
      </c>
      <c r="CC40" s="2">
        <f t="shared" si="49"/>
        <v>2.4921554038753922E-2</v>
      </c>
      <c r="CD40" s="2">
        <f t="shared" si="50"/>
        <v>3.672703578244936E-2</v>
      </c>
      <c r="CE40" s="2">
        <f t="shared" si="51"/>
        <v>4.503237195631981E-2</v>
      </c>
      <c r="CF40" s="2">
        <f t="shared" si="52"/>
        <v>7.4365384881996018E-3</v>
      </c>
      <c r="CG40" s="2">
        <f t="shared" si="53"/>
        <v>0.51416556141429171</v>
      </c>
      <c r="CH40" s="2">
        <f t="shared" si="54"/>
        <v>6.1861167978335511E-2</v>
      </c>
      <c r="CI40" s="2">
        <f t="shared" si="55"/>
        <v>5.8828694354201424E-3</v>
      </c>
      <c r="CJ40" s="2">
        <f t="shared" si="56"/>
        <v>4.9407784981815327E-2</v>
      </c>
      <c r="CK40" s="2">
        <f t="shared" si="57"/>
        <v>6.3958297711087808E-4</v>
      </c>
      <c r="CL40" s="2">
        <f t="shared" si="58"/>
        <v>0.26510252274817342</v>
      </c>
      <c r="CM40" s="2">
        <f t="shared" si="59"/>
        <v>0.16920851606582527</v>
      </c>
      <c r="CN40" s="2">
        <f t="shared" si="60"/>
        <v>0.18882208594627317</v>
      </c>
      <c r="CO40" s="2">
        <f t="shared" si="61"/>
        <v>2.2084097767467222E-2</v>
      </c>
    </row>
    <row r="41" spans="1:93" x14ac:dyDescent="0.25">
      <c r="A41" s="29">
        <v>28</v>
      </c>
      <c r="B41" t="s">
        <v>34</v>
      </c>
      <c r="C41">
        <v>48334</v>
      </c>
      <c r="D41">
        <v>7.2999999999999995E-2</v>
      </c>
      <c r="E41">
        <v>0.26</v>
      </c>
      <c r="F41">
        <v>2300</v>
      </c>
      <c r="G41">
        <v>4600</v>
      </c>
      <c r="H41">
        <v>6100</v>
      </c>
      <c r="I41">
        <v>3900</v>
      </c>
      <c r="J41">
        <v>4000</v>
      </c>
      <c r="K41">
        <v>3500</v>
      </c>
      <c r="L41">
        <v>24400</v>
      </c>
      <c r="M41">
        <v>1200</v>
      </c>
      <c r="N41">
        <v>3700</v>
      </c>
      <c r="O41">
        <v>7200</v>
      </c>
      <c r="P41">
        <v>4200</v>
      </c>
      <c r="Q41">
        <v>4100</v>
      </c>
      <c r="R41">
        <v>4300</v>
      </c>
      <c r="S41">
        <v>24600</v>
      </c>
      <c r="T41">
        <f t="shared" si="62"/>
        <v>49000</v>
      </c>
      <c r="U41" s="1">
        <f t="shared" si="63"/>
        <v>4.6938775510204082E-2</v>
      </c>
      <c r="V41" s="1">
        <f t="shared" si="65"/>
        <v>9.3877551020408165E-2</v>
      </c>
      <c r="W41" s="1">
        <f t="shared" si="66"/>
        <v>0.12448979591836734</v>
      </c>
      <c r="X41" s="1">
        <f t="shared" si="67"/>
        <v>7.9591836734693874E-2</v>
      </c>
      <c r="Y41" s="1">
        <f t="shared" si="68"/>
        <v>8.1632653061224483E-2</v>
      </c>
      <c r="Z41" s="1">
        <f t="shared" si="69"/>
        <v>7.1428571428571425E-2</v>
      </c>
      <c r="AA41" s="1">
        <f t="shared" si="70"/>
        <v>0.49795918367346936</v>
      </c>
      <c r="AB41" s="1">
        <f t="shared" si="71"/>
        <v>2.4489795918367346E-2</v>
      </c>
      <c r="AC41" s="1">
        <f t="shared" si="72"/>
        <v>7.5510204081632656E-2</v>
      </c>
      <c r="AD41" s="1">
        <f t="shared" si="73"/>
        <v>0.14693877551020409</v>
      </c>
      <c r="AE41" s="1">
        <f t="shared" si="74"/>
        <v>8.5714285714285715E-2</v>
      </c>
      <c r="AF41" s="1">
        <f t="shared" si="75"/>
        <v>8.3673469387755106E-2</v>
      </c>
      <c r="AG41" s="1">
        <f t="shared" si="76"/>
        <v>8.7755102040816324E-2</v>
      </c>
      <c r="AH41" s="1">
        <f t="shared" si="77"/>
        <v>0.50204081632653064</v>
      </c>
      <c r="AI41" s="2">
        <f t="shared" si="20"/>
        <v>1.2204081632653062E-2</v>
      </c>
      <c r="AJ41" s="2">
        <f t="shared" si="21"/>
        <v>2.4408163265306124E-2</v>
      </c>
      <c r="AK41" s="2">
        <f t="shared" si="22"/>
        <v>3.2367346938775507E-2</v>
      </c>
      <c r="AL41" s="2">
        <f t="shared" si="23"/>
        <v>2.0693877551020409E-2</v>
      </c>
      <c r="AM41" s="2">
        <f t="shared" si="24"/>
        <v>2.1224489795918365E-2</v>
      </c>
      <c r="AN41" s="2">
        <f t="shared" si="25"/>
        <v>1.8571428571428572E-2</v>
      </c>
      <c r="AO41" s="2">
        <f t="shared" si="26"/>
        <v>0.12946938775510203</v>
      </c>
      <c r="AP41" s="2">
        <f t="shared" si="27"/>
        <v>6.3673469387755099E-3</v>
      </c>
      <c r="AQ41" s="2">
        <f t="shared" si="28"/>
        <v>1.9632653061224491E-2</v>
      </c>
      <c r="AR41" s="2">
        <f t="shared" si="29"/>
        <v>3.8204081632653063E-2</v>
      </c>
      <c r="AS41" s="2">
        <f t="shared" si="30"/>
        <v>2.2285714285714287E-2</v>
      </c>
      <c r="AT41" s="2">
        <f t="shared" si="31"/>
        <v>2.1755102040816328E-2</v>
      </c>
      <c r="AU41" s="2">
        <f t="shared" si="32"/>
        <v>2.2816326530612246E-2</v>
      </c>
      <c r="AV41" s="2">
        <f t="shared" si="33"/>
        <v>0.13053061224489798</v>
      </c>
      <c r="AW41">
        <v>49000</v>
      </c>
      <c r="AX41" s="33">
        <v>278866000</v>
      </c>
      <c r="AY41" s="33">
        <f t="shared" si="34"/>
        <v>98983000</v>
      </c>
      <c r="AZ41">
        <v>152688000</v>
      </c>
      <c r="BA41">
        <v>6091000</v>
      </c>
      <c r="BB41">
        <v>12286000</v>
      </c>
      <c r="BC41">
        <v>20033000</v>
      </c>
      <c r="BD41">
        <v>2513000</v>
      </c>
      <c r="BE41">
        <v>53705000</v>
      </c>
      <c r="BF41">
        <v>37792000</v>
      </c>
      <c r="BG41">
        <v>1457000</v>
      </c>
      <c r="BH41">
        <v>18612000</v>
      </c>
      <c r="BI41">
        <v>199000</v>
      </c>
      <c r="BJ41">
        <v>84200000</v>
      </c>
      <c r="BK41">
        <v>52824000</v>
      </c>
      <c r="BL41">
        <v>41978000</v>
      </c>
      <c r="BM41">
        <v>4548000</v>
      </c>
      <c r="BN41" s="1">
        <f t="shared" si="64"/>
        <v>0.54753178946160519</v>
      </c>
      <c r="BO41" s="1">
        <f t="shared" si="78"/>
        <v>2.1842031656781394E-2</v>
      </c>
      <c r="BP41" s="1">
        <f t="shared" si="79"/>
        <v>4.4057002287837169E-2</v>
      </c>
      <c r="BQ41" s="1">
        <f t="shared" si="80"/>
        <v>7.1837369919602961E-2</v>
      </c>
      <c r="BR41" s="1">
        <f t="shared" si="81"/>
        <v>9.0114965610723421E-3</v>
      </c>
      <c r="BS41" s="1">
        <f t="shared" si="82"/>
        <v>0.19258353474428577</v>
      </c>
      <c r="BT41" s="1">
        <f t="shared" si="83"/>
        <v>0.13552028572862951</v>
      </c>
      <c r="BU41" s="1">
        <f t="shared" si="84"/>
        <v>5.224731591517073E-3</v>
      </c>
      <c r="BV41" s="1">
        <f t="shared" si="85"/>
        <v>6.6741732588411637E-2</v>
      </c>
      <c r="BW41" s="1">
        <f t="shared" si="86"/>
        <v>7.1360438346732837E-4</v>
      </c>
      <c r="BX41" s="1">
        <f t="shared" si="87"/>
        <v>0.30193713109522136</v>
      </c>
      <c r="BY41" s="1">
        <f t="shared" si="88"/>
        <v>0.18942431131798068</v>
      </c>
      <c r="BZ41" s="1">
        <f t="shared" si="89"/>
        <v>0.15053107944317343</v>
      </c>
      <c r="CA41" s="1">
        <f t="shared" si="90"/>
        <v>1.6308908221152812E-2</v>
      </c>
      <c r="CB41" s="2">
        <f t="shared" si="48"/>
        <v>0.14235826526001735</v>
      </c>
      <c r="CC41" s="2">
        <f t="shared" si="49"/>
        <v>5.6789282307631627E-3</v>
      </c>
      <c r="CD41" s="2">
        <f t="shared" si="50"/>
        <v>1.1454820594837664E-2</v>
      </c>
      <c r="CE41" s="2">
        <f t="shared" si="51"/>
        <v>1.8677716179096769E-2</v>
      </c>
      <c r="CF41" s="2">
        <f t="shared" si="52"/>
        <v>2.3429891058788089E-3</v>
      </c>
      <c r="CG41" s="2">
        <f t="shared" si="53"/>
        <v>5.0071719033514303E-2</v>
      </c>
      <c r="CH41" s="2">
        <f t="shared" si="54"/>
        <v>3.5235274289443674E-2</v>
      </c>
      <c r="CI41" s="2">
        <f t="shared" si="55"/>
        <v>1.3584302137944391E-3</v>
      </c>
      <c r="CJ41" s="2">
        <f t="shared" si="56"/>
        <v>1.7352850472987028E-2</v>
      </c>
      <c r="CK41" s="2">
        <f t="shared" si="57"/>
        <v>1.8553713970150538E-4</v>
      </c>
      <c r="CL41" s="2">
        <f t="shared" si="58"/>
        <v>7.8503654084757554E-2</v>
      </c>
      <c r="CM41" s="2">
        <f t="shared" si="59"/>
        <v>4.925032094267498E-2</v>
      </c>
      <c r="CN41" s="2">
        <f t="shared" si="60"/>
        <v>3.9138080655225095E-2</v>
      </c>
      <c r="CO41" s="2">
        <f t="shared" si="61"/>
        <v>4.2403161374997313E-3</v>
      </c>
    </row>
    <row r="42" spans="1:93" x14ac:dyDescent="0.25">
      <c r="A42" s="29">
        <v>29</v>
      </c>
      <c r="B42" t="s">
        <v>188</v>
      </c>
      <c r="C42">
        <v>325742</v>
      </c>
      <c r="D42">
        <v>0.49</v>
      </c>
      <c r="E42">
        <v>0.28000000000000003</v>
      </c>
      <c r="F42">
        <v>24700</v>
      </c>
      <c r="G42">
        <v>110100</v>
      </c>
      <c r="H42">
        <v>238800</v>
      </c>
      <c r="I42">
        <v>116300</v>
      </c>
      <c r="J42">
        <v>79700</v>
      </c>
      <c r="K42">
        <v>97200</v>
      </c>
      <c r="L42">
        <v>666900</v>
      </c>
      <c r="M42">
        <v>6300</v>
      </c>
      <c r="N42">
        <v>66200</v>
      </c>
      <c r="O42">
        <v>188900</v>
      </c>
      <c r="P42">
        <v>125900</v>
      </c>
      <c r="Q42">
        <v>106000</v>
      </c>
      <c r="R42">
        <v>213900</v>
      </c>
      <c r="S42">
        <v>707000</v>
      </c>
      <c r="T42">
        <f t="shared" si="62"/>
        <v>1373900</v>
      </c>
      <c r="U42" s="1">
        <f t="shared" si="63"/>
        <v>1.7978018778659292E-2</v>
      </c>
      <c r="V42" s="1">
        <f t="shared" si="65"/>
        <v>8.0136836742120965E-2</v>
      </c>
      <c r="W42" s="1">
        <f t="shared" si="66"/>
        <v>0.17381177669408254</v>
      </c>
      <c r="X42" s="1">
        <f t="shared" si="67"/>
        <v>8.464953781206784E-2</v>
      </c>
      <c r="Y42" s="1">
        <f t="shared" si="68"/>
        <v>5.8010044399155691E-2</v>
      </c>
      <c r="Z42" s="1">
        <f t="shared" si="69"/>
        <v>7.0747507096586365E-2</v>
      </c>
      <c r="AA42" s="1">
        <f t="shared" si="70"/>
        <v>0.48540650702380084</v>
      </c>
      <c r="AB42" s="1">
        <f t="shared" si="71"/>
        <v>4.585486571075042E-3</v>
      </c>
      <c r="AC42" s="1">
        <f t="shared" si="72"/>
        <v>4.8184001746852029E-2</v>
      </c>
      <c r="AD42" s="1">
        <f t="shared" si="73"/>
        <v>0.13749181163112309</v>
      </c>
      <c r="AE42" s="1">
        <f t="shared" si="74"/>
        <v>9.1636945920372664E-2</v>
      </c>
      <c r="AF42" s="1">
        <f t="shared" si="75"/>
        <v>7.7152631195865781E-2</v>
      </c>
      <c r="AG42" s="1">
        <f t="shared" si="76"/>
        <v>0.15568818691316691</v>
      </c>
      <c r="AH42" s="1">
        <f t="shared" si="77"/>
        <v>0.51459349297619916</v>
      </c>
      <c r="AI42" s="2">
        <f t="shared" si="20"/>
        <v>5.033845258024602E-3</v>
      </c>
      <c r="AJ42" s="2">
        <f t="shared" si="21"/>
        <v>2.2438314287793873E-2</v>
      </c>
      <c r="AK42" s="2">
        <f t="shared" si="22"/>
        <v>4.8667297474343119E-2</v>
      </c>
      <c r="AL42" s="2">
        <f t="shared" si="23"/>
        <v>2.3701870587378996E-2</v>
      </c>
      <c r="AM42" s="2">
        <f t="shared" si="24"/>
        <v>1.6242812431763596E-2</v>
      </c>
      <c r="AN42" s="2">
        <f t="shared" si="25"/>
        <v>1.9809301987044184E-2</v>
      </c>
      <c r="AO42" s="2">
        <f t="shared" si="26"/>
        <v>0.13591382196666424</v>
      </c>
      <c r="AP42" s="2">
        <f t="shared" si="27"/>
        <v>1.2839362399010119E-3</v>
      </c>
      <c r="AQ42" s="2">
        <f t="shared" si="28"/>
        <v>1.3491520489118568E-2</v>
      </c>
      <c r="AR42" s="2">
        <f t="shared" si="29"/>
        <v>3.8497707256714468E-2</v>
      </c>
      <c r="AS42" s="2">
        <f t="shared" si="30"/>
        <v>2.5658344857704348E-2</v>
      </c>
      <c r="AT42" s="2">
        <f t="shared" si="31"/>
        <v>2.160273673484242E-2</v>
      </c>
      <c r="AU42" s="2">
        <f t="shared" si="32"/>
        <v>4.3592692335686738E-2</v>
      </c>
      <c r="AV42" s="2">
        <f t="shared" si="33"/>
        <v>0.14408617803333579</v>
      </c>
      <c r="AW42">
        <v>314900</v>
      </c>
      <c r="AX42" s="33">
        <v>276284000</v>
      </c>
      <c r="AY42" s="33">
        <f t="shared" si="34"/>
        <v>103356000</v>
      </c>
      <c r="AZ42">
        <v>166588000</v>
      </c>
      <c r="BA42">
        <v>25806000</v>
      </c>
      <c r="BB42">
        <v>34919000</v>
      </c>
      <c r="BC42">
        <v>6654000</v>
      </c>
      <c r="BD42">
        <v>7572000</v>
      </c>
      <c r="BE42">
        <v>63232000</v>
      </c>
      <c r="BF42">
        <v>9491000</v>
      </c>
      <c r="BG42">
        <v>3022000</v>
      </c>
      <c r="BH42">
        <v>15614000</v>
      </c>
      <c r="BI42">
        <v>278000</v>
      </c>
      <c r="BJ42">
        <v>24096000</v>
      </c>
      <c r="BK42">
        <v>1011000</v>
      </c>
      <c r="BL42">
        <v>85600000</v>
      </c>
      <c r="BM42">
        <v>15061000</v>
      </c>
      <c r="BN42" s="1">
        <f t="shared" si="64"/>
        <v>0.6029592737907371</v>
      </c>
      <c r="BO42" s="1">
        <f t="shared" si="78"/>
        <v>9.340388875215358E-2</v>
      </c>
      <c r="BP42" s="1">
        <f t="shared" si="79"/>
        <v>0.12638806445541545</v>
      </c>
      <c r="BQ42" s="1">
        <f t="shared" si="80"/>
        <v>2.4083913654066105E-2</v>
      </c>
      <c r="BR42" s="1">
        <f t="shared" si="81"/>
        <v>2.7406581633391727E-2</v>
      </c>
      <c r="BS42" s="1">
        <f t="shared" si="82"/>
        <v>0.22886594953019357</v>
      </c>
      <c r="BT42" s="1">
        <f t="shared" si="83"/>
        <v>3.4352333106513588E-2</v>
      </c>
      <c r="BU42" s="1">
        <f t="shared" si="84"/>
        <v>1.0938020297954279E-2</v>
      </c>
      <c r="BV42" s="1">
        <f t="shared" si="85"/>
        <v>5.6514311360773693E-2</v>
      </c>
      <c r="BW42" s="1">
        <f t="shared" si="86"/>
        <v>1.0062110002750793E-3</v>
      </c>
      <c r="BX42" s="1">
        <f t="shared" si="87"/>
        <v>8.7214605261252909E-2</v>
      </c>
      <c r="BY42" s="1">
        <f t="shared" si="88"/>
        <v>3.6592781340939033E-3</v>
      </c>
      <c r="BZ42" s="1">
        <f t="shared" si="89"/>
        <v>0.30982612094801004</v>
      </c>
      <c r="CA42" s="1">
        <f t="shared" si="90"/>
        <v>5.4512747752312837E-2</v>
      </c>
      <c r="CB42" s="2">
        <f t="shared" si="48"/>
        <v>0.1688285966614064</v>
      </c>
      <c r="CC42" s="2">
        <f t="shared" si="49"/>
        <v>2.6153088850603006E-2</v>
      </c>
      <c r="CD42" s="2">
        <f t="shared" si="50"/>
        <v>3.5388658047516328E-2</v>
      </c>
      <c r="CE42" s="2">
        <f t="shared" si="51"/>
        <v>6.74349582313851E-3</v>
      </c>
      <c r="CF42" s="2">
        <f t="shared" si="52"/>
        <v>7.6738428573496845E-3</v>
      </c>
      <c r="CG42" s="2">
        <f t="shared" si="53"/>
        <v>6.4082465868454203E-2</v>
      </c>
      <c r="CH42" s="2">
        <f t="shared" si="54"/>
        <v>9.6186532698238052E-3</v>
      </c>
      <c r="CI42" s="2">
        <f t="shared" si="55"/>
        <v>3.0626456834271982E-3</v>
      </c>
      <c r="CJ42" s="2">
        <f t="shared" si="56"/>
        <v>1.5824007181016637E-2</v>
      </c>
      <c r="CK42" s="2">
        <f t="shared" si="57"/>
        <v>2.8173908007702225E-4</v>
      </c>
      <c r="CL42" s="2">
        <f t="shared" si="58"/>
        <v>2.4420089473150816E-2</v>
      </c>
      <c r="CM42" s="2">
        <f t="shared" si="59"/>
        <v>1.0245978775462929E-3</v>
      </c>
      <c r="CN42" s="2">
        <f t="shared" si="60"/>
        <v>8.6751313865442825E-2</v>
      </c>
      <c r="CO42" s="2">
        <f t="shared" si="61"/>
        <v>1.5263569370647595E-2</v>
      </c>
    </row>
    <row r="43" spans="1:93" x14ac:dyDescent="0.25">
      <c r="A43" s="29">
        <v>19</v>
      </c>
      <c r="B43" t="s">
        <v>35</v>
      </c>
      <c r="C43">
        <v>1405133</v>
      </c>
      <c r="D43">
        <v>2.1</v>
      </c>
      <c r="E43">
        <v>6.21</v>
      </c>
      <c r="F43">
        <v>14900</v>
      </c>
      <c r="G43">
        <v>142100</v>
      </c>
      <c r="H43">
        <v>347300</v>
      </c>
      <c r="I43">
        <v>214300</v>
      </c>
      <c r="J43">
        <v>143800</v>
      </c>
      <c r="K43">
        <v>148800</v>
      </c>
      <c r="L43">
        <v>1011300</v>
      </c>
      <c r="M43">
        <v>14600</v>
      </c>
      <c r="N43">
        <v>212600</v>
      </c>
      <c r="O43">
        <v>527800</v>
      </c>
      <c r="P43">
        <v>392200</v>
      </c>
      <c r="Q43">
        <v>318600</v>
      </c>
      <c r="R43">
        <v>518200</v>
      </c>
      <c r="S43">
        <v>1983900</v>
      </c>
      <c r="T43">
        <f t="shared" si="62"/>
        <v>2995200</v>
      </c>
      <c r="U43" s="1">
        <f t="shared" si="63"/>
        <v>4.974626068376068E-3</v>
      </c>
      <c r="V43" s="1">
        <f t="shared" si="65"/>
        <v>4.7442574786324784E-2</v>
      </c>
      <c r="W43" s="1">
        <f t="shared" si="66"/>
        <v>0.11595219017094018</v>
      </c>
      <c r="X43" s="1">
        <f t="shared" si="67"/>
        <v>7.1547809829059825E-2</v>
      </c>
      <c r="Y43" s="1">
        <f t="shared" si="68"/>
        <v>4.8010149572649576E-2</v>
      </c>
      <c r="Z43" s="1">
        <f t="shared" si="69"/>
        <v>4.9679487179487176E-2</v>
      </c>
      <c r="AA43" s="1">
        <f t="shared" si="70"/>
        <v>0.33764022435897434</v>
      </c>
      <c r="AB43" s="1">
        <f t="shared" si="71"/>
        <v>4.874465811965812E-3</v>
      </c>
      <c r="AC43" s="1">
        <f t="shared" si="72"/>
        <v>7.098023504273504E-2</v>
      </c>
      <c r="AD43" s="1">
        <f t="shared" si="73"/>
        <v>0.17621527777777779</v>
      </c>
      <c r="AE43" s="1">
        <f t="shared" si="74"/>
        <v>0.13094284188034189</v>
      </c>
      <c r="AF43" s="1">
        <f t="shared" si="75"/>
        <v>0.1063701923076923</v>
      </c>
      <c r="AG43" s="1">
        <f t="shared" si="76"/>
        <v>0.17301014957264957</v>
      </c>
      <c r="AH43" s="1">
        <f t="shared" si="77"/>
        <v>0.66235977564102566</v>
      </c>
      <c r="AI43" s="2">
        <f t="shared" si="20"/>
        <v>3.0892427884615381E-2</v>
      </c>
      <c r="AJ43" s="2">
        <f t="shared" si="21"/>
        <v>0.29461838942307689</v>
      </c>
      <c r="AK43" s="2">
        <f t="shared" si="22"/>
        <v>0.72006310096153847</v>
      </c>
      <c r="AL43" s="2">
        <f t="shared" si="23"/>
        <v>0.44431189903846152</v>
      </c>
      <c r="AM43" s="2">
        <f t="shared" si="24"/>
        <v>0.29814302884615385</v>
      </c>
      <c r="AN43" s="2">
        <f t="shared" si="25"/>
        <v>0.30850961538461535</v>
      </c>
      <c r="AO43" s="2">
        <f t="shared" si="26"/>
        <v>2.0967457932692306</v>
      </c>
      <c r="AP43" s="2">
        <f t="shared" si="27"/>
        <v>3.0270432692307694E-2</v>
      </c>
      <c r="AQ43" s="2">
        <f t="shared" si="28"/>
        <v>0.44078725961538462</v>
      </c>
      <c r="AR43" s="2">
        <f t="shared" si="29"/>
        <v>1.0942968750000002</v>
      </c>
      <c r="AS43" s="2">
        <f t="shared" si="30"/>
        <v>0.81315504807692307</v>
      </c>
      <c r="AT43" s="2">
        <f t="shared" si="31"/>
        <v>0.66055889423076919</v>
      </c>
      <c r="AU43" s="2">
        <f t="shared" si="32"/>
        <v>1.0743930288461538</v>
      </c>
      <c r="AV43" s="2">
        <f t="shared" si="33"/>
        <v>4.1132542067307689</v>
      </c>
      <c r="AW43">
        <v>1398000</v>
      </c>
      <c r="AX43" s="33">
        <v>6130135000</v>
      </c>
      <c r="AY43" s="33">
        <f t="shared" si="34"/>
        <v>984267000</v>
      </c>
      <c r="AZ43">
        <v>1364427000</v>
      </c>
      <c r="BA43">
        <v>328933000</v>
      </c>
      <c r="BB43">
        <v>228776000</v>
      </c>
      <c r="BC43">
        <v>84936000</v>
      </c>
      <c r="BD43">
        <v>49380000</v>
      </c>
      <c r="BE43">
        <v>380160000</v>
      </c>
      <c r="BF43">
        <v>83230000</v>
      </c>
      <c r="BG43">
        <v>36741000</v>
      </c>
      <c r="BH43">
        <v>165060000</v>
      </c>
      <c r="BI43">
        <v>7211000</v>
      </c>
      <c r="BJ43">
        <v>3027480000</v>
      </c>
      <c r="BK43">
        <v>184911000</v>
      </c>
      <c r="BL43">
        <v>1738227000</v>
      </c>
      <c r="BM43">
        <v>598868000</v>
      </c>
      <c r="BN43" s="1">
        <f t="shared" si="64"/>
        <v>0.22257699055567293</v>
      </c>
      <c r="BO43" s="1">
        <f t="shared" si="78"/>
        <v>5.3658361520586416E-2</v>
      </c>
      <c r="BP43" s="1">
        <f t="shared" si="79"/>
        <v>3.7319895891362913E-2</v>
      </c>
      <c r="BQ43" s="1">
        <f t="shared" si="80"/>
        <v>1.3855486053732911E-2</v>
      </c>
      <c r="BR43" s="1">
        <f t="shared" si="81"/>
        <v>8.055287526294282E-3</v>
      </c>
      <c r="BS43" s="1">
        <f t="shared" si="82"/>
        <v>6.2014947468530465E-2</v>
      </c>
      <c r="BT43" s="1">
        <f t="shared" si="83"/>
        <v>1.3577188756854458E-2</v>
      </c>
      <c r="BU43" s="1">
        <f t="shared" si="84"/>
        <v>5.9935058526443541E-3</v>
      </c>
      <c r="BV43" s="1">
        <f t="shared" si="85"/>
        <v>2.6925997551440546E-2</v>
      </c>
      <c r="BW43" s="1">
        <f t="shared" si="86"/>
        <v>1.1763199342265708E-3</v>
      </c>
      <c r="BX43" s="1">
        <f t="shared" si="87"/>
        <v>0.49386840583445552</v>
      </c>
      <c r="BY43" s="1">
        <f t="shared" si="88"/>
        <v>3.0164262287861524E-2</v>
      </c>
      <c r="BZ43" s="1">
        <f t="shared" si="89"/>
        <v>0.28355444048132711</v>
      </c>
      <c r="CA43" s="1">
        <f t="shared" si="90"/>
        <v>9.7692465174094856E-2</v>
      </c>
      <c r="CB43" s="2">
        <f t="shared" si="48"/>
        <v>1.3822031113507289</v>
      </c>
      <c r="CC43" s="2">
        <f t="shared" si="49"/>
        <v>0.33321842504284166</v>
      </c>
      <c r="CD43" s="2">
        <f t="shared" si="50"/>
        <v>0.2317565534853637</v>
      </c>
      <c r="CE43" s="2">
        <f t="shared" si="51"/>
        <v>8.6042568393681379E-2</v>
      </c>
      <c r="CF43" s="2">
        <f t="shared" si="52"/>
        <v>5.0023335538287493E-2</v>
      </c>
      <c r="CG43" s="2">
        <f t="shared" si="53"/>
        <v>0.38511282377957418</v>
      </c>
      <c r="CH43" s="2">
        <f t="shared" si="54"/>
        <v>8.4314342180066185E-2</v>
      </c>
      <c r="CI43" s="2">
        <f t="shared" si="55"/>
        <v>3.7219671344921441E-2</v>
      </c>
      <c r="CJ43" s="2">
        <f t="shared" si="56"/>
        <v>0.1672104447944458</v>
      </c>
      <c r="CK43" s="2">
        <f t="shared" si="57"/>
        <v>7.3049467915470047E-3</v>
      </c>
      <c r="CL43" s="2">
        <f t="shared" si="58"/>
        <v>3.0669228002319686</v>
      </c>
      <c r="CM43" s="2">
        <f t="shared" si="59"/>
        <v>0.18732006880762006</v>
      </c>
      <c r="CN43" s="2">
        <f t="shared" si="60"/>
        <v>1.7608730753890414</v>
      </c>
      <c r="CO43" s="2">
        <f t="shared" si="61"/>
        <v>0.60667020873112909</v>
      </c>
    </row>
    <row r="44" spans="1:93" x14ac:dyDescent="0.25">
      <c r="A44" s="29">
        <v>10</v>
      </c>
      <c r="B44" t="s">
        <v>36</v>
      </c>
      <c r="C44">
        <v>836056</v>
      </c>
      <c r="D44">
        <v>1.3</v>
      </c>
      <c r="E44">
        <v>9.59</v>
      </c>
      <c r="F44">
        <v>20400</v>
      </c>
      <c r="G44">
        <v>61000</v>
      </c>
      <c r="H44">
        <v>233000</v>
      </c>
      <c r="I44">
        <v>344100</v>
      </c>
      <c r="J44">
        <v>581300</v>
      </c>
      <c r="K44">
        <v>784800</v>
      </c>
      <c r="L44">
        <v>2024700</v>
      </c>
      <c r="M44">
        <v>16200</v>
      </c>
      <c r="N44">
        <v>87300</v>
      </c>
      <c r="O44">
        <v>310500</v>
      </c>
      <c r="P44">
        <v>307200</v>
      </c>
      <c r="Q44">
        <v>458500</v>
      </c>
      <c r="R44">
        <v>734900</v>
      </c>
      <c r="S44">
        <v>1916100</v>
      </c>
      <c r="T44">
        <f t="shared" si="62"/>
        <v>3940800</v>
      </c>
      <c r="U44" s="1">
        <f t="shared" si="63"/>
        <v>5.1766138855054815E-3</v>
      </c>
      <c r="V44" s="1">
        <f t="shared" si="65"/>
        <v>1.547909053999188E-2</v>
      </c>
      <c r="W44" s="1">
        <f t="shared" si="66"/>
        <v>5.9125050751116522E-2</v>
      </c>
      <c r="X44" s="1">
        <f t="shared" si="67"/>
        <v>8.7317295980511578E-2</v>
      </c>
      <c r="Y44" s="1">
        <f t="shared" si="68"/>
        <v>0.14750812017864393</v>
      </c>
      <c r="Z44" s="1">
        <f t="shared" si="69"/>
        <v>0.19914738124238734</v>
      </c>
      <c r="AA44" s="1">
        <f t="shared" si="70"/>
        <v>0.51377892813641901</v>
      </c>
      <c r="AB44" s="1">
        <f t="shared" si="71"/>
        <v>4.1108404384896467E-3</v>
      </c>
      <c r="AC44" s="1">
        <f t="shared" si="72"/>
        <v>2.2152862362971985E-2</v>
      </c>
      <c r="AD44" s="1">
        <f t="shared" si="73"/>
        <v>7.8791108404384899E-2</v>
      </c>
      <c r="AE44" s="1">
        <f t="shared" si="74"/>
        <v>7.7953714981729594E-2</v>
      </c>
      <c r="AF44" s="1">
        <f t="shared" si="75"/>
        <v>0.11634693463256192</v>
      </c>
      <c r="AG44" s="1">
        <f t="shared" si="76"/>
        <v>0.18648497766950872</v>
      </c>
      <c r="AH44" s="1">
        <f t="shared" si="77"/>
        <v>0.48622107186358099</v>
      </c>
      <c r="AI44" s="2">
        <f t="shared" si="20"/>
        <v>4.9643727161997567E-2</v>
      </c>
      <c r="AJ44" s="2">
        <f t="shared" si="21"/>
        <v>0.14844447827852214</v>
      </c>
      <c r="AK44" s="2">
        <f t="shared" si="22"/>
        <v>0.56700923670320746</v>
      </c>
      <c r="AL44" s="2">
        <f t="shared" si="23"/>
        <v>0.83737286845310599</v>
      </c>
      <c r="AM44" s="2">
        <f t="shared" si="24"/>
        <v>1.4146028725131952</v>
      </c>
      <c r="AN44" s="2">
        <f t="shared" si="25"/>
        <v>1.9098233861144946</v>
      </c>
      <c r="AO44" s="2">
        <f t="shared" si="26"/>
        <v>4.9271399208282585</v>
      </c>
      <c r="AP44" s="2">
        <f t="shared" si="27"/>
        <v>3.9422959805115711E-2</v>
      </c>
      <c r="AQ44" s="2">
        <f t="shared" si="28"/>
        <v>0.21244595006090133</v>
      </c>
      <c r="AR44" s="2">
        <f t="shared" si="29"/>
        <v>0.7556067295980512</v>
      </c>
      <c r="AS44" s="2">
        <f t="shared" si="30"/>
        <v>0.74757612667478679</v>
      </c>
      <c r="AT44" s="2">
        <f t="shared" si="31"/>
        <v>1.1157671031262688</v>
      </c>
      <c r="AU44" s="2">
        <f t="shared" si="32"/>
        <v>1.7883909358505887</v>
      </c>
      <c r="AV44" s="2">
        <f t="shared" si="33"/>
        <v>4.6628600791717414</v>
      </c>
      <c r="AW44">
        <v>921800</v>
      </c>
      <c r="AX44" s="33">
        <v>9531647000</v>
      </c>
      <c r="AY44" s="33">
        <f t="shared" si="34"/>
        <v>1095620000</v>
      </c>
      <c r="AZ44">
        <v>3279206000</v>
      </c>
      <c r="BA44">
        <v>283850000</v>
      </c>
      <c r="BB44">
        <v>160061000</v>
      </c>
      <c r="BC44">
        <v>33088000</v>
      </c>
      <c r="BD44">
        <v>21513000</v>
      </c>
      <c r="BE44">
        <v>2183586000</v>
      </c>
      <c r="BF44">
        <v>181857000</v>
      </c>
      <c r="BG44">
        <v>95469000</v>
      </c>
      <c r="BH44">
        <v>316856000</v>
      </c>
      <c r="BI44">
        <v>2927000</v>
      </c>
      <c r="BJ44">
        <v>5910945000</v>
      </c>
      <c r="BK44">
        <v>5061741000</v>
      </c>
      <c r="BL44">
        <v>341496000</v>
      </c>
      <c r="BM44">
        <v>184421000</v>
      </c>
      <c r="BN44" s="1">
        <f t="shared" si="64"/>
        <v>0.34403351278115946</v>
      </c>
      <c r="BO44" s="1">
        <f t="shared" si="78"/>
        <v>2.9779743207023927E-2</v>
      </c>
      <c r="BP44" s="1">
        <f t="shared" si="79"/>
        <v>1.67925857934101E-2</v>
      </c>
      <c r="BQ44" s="1">
        <f t="shared" si="80"/>
        <v>3.4713832772027753E-3</v>
      </c>
      <c r="BR44" s="1">
        <f t="shared" si="81"/>
        <v>2.2570076294264781E-3</v>
      </c>
      <c r="BS44" s="1">
        <f t="shared" si="82"/>
        <v>0.22908800546222494</v>
      </c>
      <c r="BT44" s="1">
        <f t="shared" si="83"/>
        <v>1.9079283989430158E-2</v>
      </c>
      <c r="BU44" s="1">
        <f t="shared" si="84"/>
        <v>1.00160024809983E-2</v>
      </c>
      <c r="BV44" s="1">
        <f t="shared" si="85"/>
        <v>3.3242523563870967E-2</v>
      </c>
      <c r="BW44" s="1">
        <f t="shared" si="86"/>
        <v>3.0708229123466282E-4</v>
      </c>
      <c r="BX44" s="1">
        <f t="shared" si="87"/>
        <v>0.62013889100173347</v>
      </c>
      <c r="BY44" s="1">
        <f t="shared" si="88"/>
        <v>0.53104578883376607</v>
      </c>
      <c r="BZ44" s="1">
        <f t="shared" si="89"/>
        <v>3.5827596217107072E-2</v>
      </c>
      <c r="CA44" s="1">
        <f t="shared" si="90"/>
        <v>1.9348282621041255E-2</v>
      </c>
      <c r="CB44" s="2">
        <f t="shared" si="48"/>
        <v>3.2992813875713192</v>
      </c>
      <c r="CC44" s="2">
        <f t="shared" si="49"/>
        <v>0.28558773735535947</v>
      </c>
      <c r="CD44" s="2">
        <f t="shared" si="50"/>
        <v>0.16104089775880287</v>
      </c>
      <c r="CE44" s="2">
        <f t="shared" si="51"/>
        <v>3.3290565628374617E-2</v>
      </c>
      <c r="CF44" s="2">
        <f t="shared" si="52"/>
        <v>2.1644703166199923E-2</v>
      </c>
      <c r="CG44" s="2">
        <f t="shared" si="53"/>
        <v>2.1969539723827372</v>
      </c>
      <c r="CH44" s="2">
        <f t="shared" si="54"/>
        <v>0.18297033345863523</v>
      </c>
      <c r="CI44" s="2">
        <f t="shared" si="55"/>
        <v>9.60534637927737E-2</v>
      </c>
      <c r="CJ44" s="2">
        <f t="shared" si="56"/>
        <v>0.31879580097752258</v>
      </c>
      <c r="CK44" s="2">
        <f t="shared" si="57"/>
        <v>2.9449191729404166E-3</v>
      </c>
      <c r="CL44" s="2">
        <f t="shared" si="58"/>
        <v>5.9471319647066236</v>
      </c>
      <c r="CM44" s="2">
        <f t="shared" si="59"/>
        <v>5.0927291149158167</v>
      </c>
      <c r="CN44" s="2">
        <f t="shared" si="60"/>
        <v>0.34358664772205683</v>
      </c>
      <c r="CO44" s="2">
        <f t="shared" si="61"/>
        <v>0.18555003033578563</v>
      </c>
    </row>
    <row r="45" spans="1:93" x14ac:dyDescent="0.25">
      <c r="A45" s="29">
        <v>43</v>
      </c>
      <c r="B45" t="s">
        <v>37</v>
      </c>
      <c r="C45">
        <v>351056</v>
      </c>
      <c r="D45">
        <v>0.53</v>
      </c>
      <c r="E45">
        <v>0.59</v>
      </c>
      <c r="F45">
        <v>35600</v>
      </c>
      <c r="G45">
        <v>106100</v>
      </c>
      <c r="H45">
        <v>964200</v>
      </c>
      <c r="I45">
        <v>1465000</v>
      </c>
      <c r="J45">
        <v>1921000</v>
      </c>
      <c r="K45">
        <v>1962800</v>
      </c>
      <c r="L45">
        <v>6454600</v>
      </c>
      <c r="M45">
        <v>29500</v>
      </c>
      <c r="N45">
        <v>115500</v>
      </c>
      <c r="O45">
        <v>855200</v>
      </c>
      <c r="P45">
        <v>1242600</v>
      </c>
      <c r="Q45">
        <v>1808800</v>
      </c>
      <c r="R45">
        <v>2812300</v>
      </c>
      <c r="S45">
        <v>6863800</v>
      </c>
      <c r="T45">
        <f t="shared" si="62"/>
        <v>13318400</v>
      </c>
      <c r="U45" s="1">
        <f t="shared" si="63"/>
        <v>2.6729937530033639E-3</v>
      </c>
      <c r="V45" s="1">
        <f t="shared" si="65"/>
        <v>7.9664223930802497E-3</v>
      </c>
      <c r="W45" s="1">
        <f t="shared" si="66"/>
        <v>7.2396083613647286E-2</v>
      </c>
      <c r="X45" s="1">
        <f t="shared" si="67"/>
        <v>0.10999819798173954</v>
      </c>
      <c r="Y45" s="1">
        <f t="shared" si="68"/>
        <v>0.14423654493032195</v>
      </c>
      <c r="Z45" s="1">
        <f t="shared" si="69"/>
        <v>0.14737506006727535</v>
      </c>
      <c r="AA45" s="1">
        <f t="shared" si="70"/>
        <v>0.48463779432964921</v>
      </c>
      <c r="AB45" s="1">
        <f t="shared" si="71"/>
        <v>2.2149807784718886E-3</v>
      </c>
      <c r="AC45" s="1">
        <f t="shared" si="72"/>
        <v>8.672212878423834E-3</v>
      </c>
      <c r="AD45" s="1">
        <f t="shared" si="73"/>
        <v>6.421191734742912E-2</v>
      </c>
      <c r="AE45" s="1">
        <f t="shared" si="74"/>
        <v>9.3299495434887067E-2</v>
      </c>
      <c r="AF45" s="1">
        <f t="shared" si="75"/>
        <v>0.13581210956271023</v>
      </c>
      <c r="AG45" s="1">
        <f t="shared" si="76"/>
        <v>0.21115899807784719</v>
      </c>
      <c r="AH45" s="1">
        <f t="shared" si="77"/>
        <v>0.51536220567035085</v>
      </c>
      <c r="AI45" s="2">
        <f t="shared" si="20"/>
        <v>1.5770663142719845E-3</v>
      </c>
      <c r="AJ45" s="2">
        <f t="shared" si="21"/>
        <v>4.700189211917347E-3</v>
      </c>
      <c r="AK45" s="2">
        <f t="shared" si="22"/>
        <v>4.2713689332051899E-2</v>
      </c>
      <c r="AL45" s="2">
        <f t="shared" si="23"/>
        <v>6.4898936809226329E-2</v>
      </c>
      <c r="AM45" s="2">
        <f t="shared" si="24"/>
        <v>8.5099561508889948E-2</v>
      </c>
      <c r="AN45" s="2">
        <f t="shared" si="25"/>
        <v>8.6951285439692452E-2</v>
      </c>
      <c r="AO45" s="2">
        <f t="shared" si="26"/>
        <v>0.28593629865449299</v>
      </c>
      <c r="AP45" s="2">
        <f t="shared" si="27"/>
        <v>1.3068386592984141E-3</v>
      </c>
      <c r="AQ45" s="2">
        <f t="shared" si="28"/>
        <v>5.1166055982700617E-3</v>
      </c>
      <c r="AR45" s="2">
        <f t="shared" si="29"/>
        <v>3.7885031234983178E-2</v>
      </c>
      <c r="AS45" s="2">
        <f t="shared" si="30"/>
        <v>5.5046702306583366E-2</v>
      </c>
      <c r="AT45" s="2">
        <f t="shared" si="31"/>
        <v>8.0129144641999023E-2</v>
      </c>
      <c r="AU45" s="2">
        <f t="shared" si="32"/>
        <v>0.12458380886592983</v>
      </c>
      <c r="AV45" s="2">
        <f t="shared" si="33"/>
        <v>0.30406370134550698</v>
      </c>
      <c r="AW45">
        <v>972700</v>
      </c>
      <c r="AX45" s="33">
        <v>956438000</v>
      </c>
      <c r="AY45" s="33">
        <f t="shared" si="34"/>
        <v>438765000</v>
      </c>
      <c r="AZ45">
        <v>581286000</v>
      </c>
      <c r="BA45">
        <v>123045000</v>
      </c>
      <c r="BB45">
        <v>57852000</v>
      </c>
      <c r="BC45">
        <v>35554000</v>
      </c>
      <c r="BD45">
        <v>27362000</v>
      </c>
      <c r="BE45">
        <v>142521000</v>
      </c>
      <c r="BF45">
        <v>110832000</v>
      </c>
      <c r="BG45">
        <v>36304000</v>
      </c>
      <c r="BH45">
        <v>43484000</v>
      </c>
      <c r="BI45">
        <v>4332000</v>
      </c>
      <c r="BJ45">
        <v>147500000</v>
      </c>
      <c r="BK45">
        <v>31377000</v>
      </c>
      <c r="BL45">
        <v>227652000</v>
      </c>
      <c r="BM45">
        <v>42719000</v>
      </c>
      <c r="BN45" s="1">
        <f t="shared" si="64"/>
        <v>0.60776129764814868</v>
      </c>
      <c r="BO45" s="1">
        <f t="shared" si="78"/>
        <v>0.12864921719965119</v>
      </c>
      <c r="BP45" s="1">
        <f t="shared" si="79"/>
        <v>6.0486931719567816E-2</v>
      </c>
      <c r="BQ45" s="1">
        <f t="shared" si="80"/>
        <v>3.7173345266499243E-2</v>
      </c>
      <c r="BR45" s="1">
        <f t="shared" si="81"/>
        <v>2.8608231793383367E-2</v>
      </c>
      <c r="BS45" s="1">
        <f t="shared" si="82"/>
        <v>0.14901227261986663</v>
      </c>
      <c r="BT45" s="1">
        <f t="shared" si="83"/>
        <v>0.11587996294584699</v>
      </c>
      <c r="BU45" s="1">
        <f t="shared" si="84"/>
        <v>3.7957504825195151E-2</v>
      </c>
      <c r="BV45" s="1">
        <f t="shared" si="85"/>
        <v>4.5464525667110678E-2</v>
      </c>
      <c r="BW45" s="1">
        <f t="shared" si="86"/>
        <v>4.5293056110275835E-3</v>
      </c>
      <c r="BX45" s="1">
        <f t="shared" si="87"/>
        <v>0.15421804654352922</v>
      </c>
      <c r="BY45" s="1">
        <f t="shared" si="88"/>
        <v>3.2806099297602143E-2</v>
      </c>
      <c r="BZ45" s="1">
        <f t="shared" si="89"/>
        <v>0.23802065580832213</v>
      </c>
      <c r="CA45" s="1">
        <f t="shared" si="90"/>
        <v>4.4664682917240843E-2</v>
      </c>
      <c r="CB45" s="2">
        <f t="shared" si="48"/>
        <v>0.35857916561240771</v>
      </c>
      <c r="CC45" s="2">
        <f t="shared" si="49"/>
        <v>7.59030381477942E-2</v>
      </c>
      <c r="CD45" s="2">
        <f t="shared" si="50"/>
        <v>3.568728971454501E-2</v>
      </c>
      <c r="CE45" s="2">
        <f t="shared" si="51"/>
        <v>2.1932273707234551E-2</v>
      </c>
      <c r="CF45" s="2">
        <f t="shared" si="52"/>
        <v>1.6878856758096184E-2</v>
      </c>
      <c r="CG45" s="2">
        <f t="shared" si="53"/>
        <v>8.7917240845721306E-2</v>
      </c>
      <c r="CH45" s="2">
        <f t="shared" si="54"/>
        <v>6.8369178138049713E-2</v>
      </c>
      <c r="CI45" s="2">
        <f t="shared" si="55"/>
        <v>2.2394927846865139E-2</v>
      </c>
      <c r="CJ45" s="2">
        <f t="shared" si="56"/>
        <v>2.6824070143595297E-2</v>
      </c>
      <c r="CK45" s="2">
        <f t="shared" si="57"/>
        <v>2.6722903105062742E-3</v>
      </c>
      <c r="CL45" s="2">
        <f t="shared" si="58"/>
        <v>9.0988647460682234E-2</v>
      </c>
      <c r="CM45" s="2">
        <f t="shared" si="59"/>
        <v>1.9355598585585262E-2</v>
      </c>
      <c r="CN45" s="2">
        <f t="shared" si="60"/>
        <v>0.14043218692691004</v>
      </c>
      <c r="CO45" s="2">
        <f t="shared" si="61"/>
        <v>2.6352162921172095E-2</v>
      </c>
    </row>
    <row r="46" spans="1:93" x14ac:dyDescent="0.25">
      <c r="A46" s="29">
        <v>50</v>
      </c>
      <c r="B46" t="s">
        <v>38</v>
      </c>
      <c r="C46">
        <v>215589</v>
      </c>
      <c r="D46">
        <v>0.33</v>
      </c>
      <c r="E46">
        <v>0.47</v>
      </c>
      <c r="F46">
        <v>2800</v>
      </c>
      <c r="G46">
        <v>3200</v>
      </c>
      <c r="H46">
        <v>9300</v>
      </c>
      <c r="I46">
        <v>9100</v>
      </c>
      <c r="J46">
        <v>14100</v>
      </c>
      <c r="K46">
        <v>20500</v>
      </c>
      <c r="L46">
        <v>59000</v>
      </c>
      <c r="M46">
        <v>2300</v>
      </c>
      <c r="N46">
        <v>11700</v>
      </c>
      <c r="O46">
        <v>37200</v>
      </c>
      <c r="P46">
        <v>26600</v>
      </c>
      <c r="Q46">
        <v>32500</v>
      </c>
      <c r="R46">
        <v>50600</v>
      </c>
      <c r="S46">
        <v>160900</v>
      </c>
      <c r="T46">
        <f t="shared" si="62"/>
        <v>219900</v>
      </c>
      <c r="U46" s="1">
        <f t="shared" si="63"/>
        <v>1.2733060482037289E-2</v>
      </c>
      <c r="V46" s="1">
        <f t="shared" si="65"/>
        <v>1.4552069122328331E-2</v>
      </c>
      <c r="W46" s="1">
        <f t="shared" si="66"/>
        <v>4.229195088676671E-2</v>
      </c>
      <c r="X46" s="1">
        <f t="shared" si="67"/>
        <v>4.1382446566621191E-2</v>
      </c>
      <c r="Y46" s="1">
        <f t="shared" si="68"/>
        <v>6.4120054570259211E-2</v>
      </c>
      <c r="Z46" s="1">
        <f t="shared" si="69"/>
        <v>9.3224192814915868E-2</v>
      </c>
      <c r="AA46" s="1">
        <f t="shared" si="70"/>
        <v>0.26830377444292858</v>
      </c>
      <c r="AB46" s="1">
        <f t="shared" si="71"/>
        <v>1.0459299681673489E-2</v>
      </c>
      <c r="AC46" s="1">
        <f t="shared" si="72"/>
        <v>5.3206002728512961E-2</v>
      </c>
      <c r="AD46" s="1">
        <f t="shared" si="73"/>
        <v>0.16916780354706684</v>
      </c>
      <c r="AE46" s="1">
        <f t="shared" si="74"/>
        <v>0.12096407457935425</v>
      </c>
      <c r="AF46" s="1">
        <f t="shared" si="75"/>
        <v>0.1477944520236471</v>
      </c>
      <c r="AG46" s="1">
        <f t="shared" si="76"/>
        <v>0.23010459299681674</v>
      </c>
      <c r="AH46" s="1">
        <f t="shared" si="77"/>
        <v>0.73169622555707137</v>
      </c>
      <c r="AI46" s="2">
        <f t="shared" si="20"/>
        <v>5.9845384265575256E-3</v>
      </c>
      <c r="AJ46" s="2">
        <f t="shared" si="21"/>
        <v>6.839472487494315E-3</v>
      </c>
      <c r="AK46" s="2">
        <f t="shared" si="22"/>
        <v>1.9877216916780353E-2</v>
      </c>
      <c r="AL46" s="2">
        <f t="shared" si="23"/>
        <v>1.944974988631196E-2</v>
      </c>
      <c r="AM46" s="2">
        <f t="shared" si="24"/>
        <v>3.0136425648021829E-2</v>
      </c>
      <c r="AN46" s="2">
        <f t="shared" si="25"/>
        <v>4.3815370623010455E-2</v>
      </c>
      <c r="AO46" s="2">
        <f t="shared" si="26"/>
        <v>0.12610277398817643</v>
      </c>
      <c r="AP46" s="2">
        <f t="shared" si="27"/>
        <v>4.9158708503865391E-3</v>
      </c>
      <c r="AQ46" s="2">
        <f t="shared" si="28"/>
        <v>2.5006821282401091E-2</v>
      </c>
      <c r="AR46" s="2">
        <f t="shared" si="29"/>
        <v>7.9508867667121411E-2</v>
      </c>
      <c r="AS46" s="2">
        <f t="shared" si="30"/>
        <v>5.6853115052296496E-2</v>
      </c>
      <c r="AT46" s="2">
        <f t="shared" si="31"/>
        <v>6.9463392451114131E-2</v>
      </c>
      <c r="AU46" s="2">
        <f t="shared" si="32"/>
        <v>0.10814915870850386</v>
      </c>
      <c r="AV46" s="2">
        <f t="shared" si="33"/>
        <v>0.34389722601182354</v>
      </c>
      <c r="AW46">
        <v>380500</v>
      </c>
      <c r="AX46" s="33">
        <v>621537000</v>
      </c>
      <c r="AY46" s="33">
        <f t="shared" si="34"/>
        <v>179006000</v>
      </c>
      <c r="AZ46">
        <v>281672000</v>
      </c>
      <c r="BA46">
        <v>45276000</v>
      </c>
      <c r="BB46">
        <v>37661000</v>
      </c>
      <c r="BC46">
        <v>9678000</v>
      </c>
      <c r="BD46">
        <v>9812000</v>
      </c>
      <c r="BE46">
        <v>102666000</v>
      </c>
      <c r="BF46">
        <v>39618000</v>
      </c>
      <c r="BG46">
        <v>9072000</v>
      </c>
      <c r="BH46">
        <v>27216000</v>
      </c>
      <c r="BI46">
        <v>672000</v>
      </c>
      <c r="BJ46">
        <v>276543000</v>
      </c>
      <c r="BK46">
        <v>224563000</v>
      </c>
      <c r="BL46">
        <v>63322000</v>
      </c>
      <c r="BM46">
        <v>17323000</v>
      </c>
      <c r="BN46" s="1">
        <f t="shared" si="64"/>
        <v>0.45318621417550364</v>
      </c>
      <c r="BO46" s="1">
        <f t="shared" si="78"/>
        <v>7.284522079940535E-2</v>
      </c>
      <c r="BP46" s="1">
        <f t="shared" si="79"/>
        <v>6.0593335553635587E-2</v>
      </c>
      <c r="BQ46" s="1">
        <f t="shared" si="80"/>
        <v>1.5571076219114872E-2</v>
      </c>
      <c r="BR46" s="1">
        <f t="shared" si="81"/>
        <v>1.5786670785488233E-2</v>
      </c>
      <c r="BS46" s="1">
        <f t="shared" si="82"/>
        <v>0.16518083396483235</v>
      </c>
      <c r="BT46" s="1">
        <f t="shared" si="83"/>
        <v>6.3741981571491316E-2</v>
      </c>
      <c r="BU46" s="1">
        <f t="shared" si="84"/>
        <v>1.4596073926411461E-2</v>
      </c>
      <c r="BV46" s="1">
        <f t="shared" si="85"/>
        <v>4.3788221779234381E-2</v>
      </c>
      <c r="BW46" s="1">
        <f t="shared" si="86"/>
        <v>1.0811906612156637E-3</v>
      </c>
      <c r="BX46" s="1">
        <f t="shared" si="87"/>
        <v>0.44493409081036206</v>
      </c>
      <c r="BY46" s="1">
        <f t="shared" si="88"/>
        <v>0.36130270603359094</v>
      </c>
      <c r="BZ46" s="1">
        <f t="shared" si="89"/>
        <v>0.10187969501413431</v>
      </c>
      <c r="CA46" s="1">
        <f t="shared" si="90"/>
        <v>2.7871228905117475E-2</v>
      </c>
      <c r="CB46" s="2">
        <f t="shared" si="48"/>
        <v>0.2129975206624867</v>
      </c>
      <c r="CC46" s="2">
        <f t="shared" si="49"/>
        <v>3.4237253775720511E-2</v>
      </c>
      <c r="CD46" s="2">
        <f t="shared" si="50"/>
        <v>2.8478867710208723E-2</v>
      </c>
      <c r="CE46" s="2">
        <f t="shared" si="51"/>
        <v>7.3184058229839892E-3</v>
      </c>
      <c r="CF46" s="2">
        <f t="shared" si="52"/>
        <v>7.4197352691794689E-3</v>
      </c>
      <c r="CG46" s="2">
        <f t="shared" si="53"/>
        <v>7.7634991963471206E-2</v>
      </c>
      <c r="CH46" s="2">
        <f t="shared" si="54"/>
        <v>2.9958731338600917E-2</v>
      </c>
      <c r="CI46" s="2">
        <f t="shared" si="55"/>
        <v>6.8601547454133858E-3</v>
      </c>
      <c r="CJ46" s="2">
        <f t="shared" si="56"/>
        <v>2.0580464236240159E-2</v>
      </c>
      <c r="CK46" s="2">
        <f t="shared" si="57"/>
        <v>5.0815961077136187E-4</v>
      </c>
      <c r="CL46" s="2">
        <f t="shared" si="58"/>
        <v>0.20911902268087015</v>
      </c>
      <c r="CM46" s="2">
        <f t="shared" si="59"/>
        <v>0.16981227183578773</v>
      </c>
      <c r="CN46" s="2">
        <f t="shared" si="60"/>
        <v>4.7883456656643127E-2</v>
      </c>
      <c r="CO46" s="2">
        <f t="shared" si="61"/>
        <v>1.3099477585405212E-2</v>
      </c>
    </row>
    <row r="47" spans="1:93" x14ac:dyDescent="0.25">
      <c r="A47" s="29">
        <v>56</v>
      </c>
      <c r="B47" t="s">
        <v>39</v>
      </c>
      <c r="C47">
        <v>1975489</v>
      </c>
      <c r="D47">
        <v>3</v>
      </c>
      <c r="E47">
        <v>4.3</v>
      </c>
      <c r="F47">
        <v>84200</v>
      </c>
      <c r="G47">
        <v>126500</v>
      </c>
      <c r="H47">
        <v>295400</v>
      </c>
      <c r="I47">
        <v>309100</v>
      </c>
      <c r="J47">
        <v>444000</v>
      </c>
      <c r="K47">
        <v>500900</v>
      </c>
      <c r="L47">
        <v>1759900</v>
      </c>
      <c r="M47">
        <v>67600</v>
      </c>
      <c r="N47">
        <v>151900</v>
      </c>
      <c r="O47">
        <v>292600</v>
      </c>
      <c r="P47">
        <v>278100</v>
      </c>
      <c r="Q47">
        <v>439000</v>
      </c>
      <c r="R47">
        <v>709100</v>
      </c>
      <c r="S47">
        <v>1938000</v>
      </c>
      <c r="T47">
        <f t="shared" si="62"/>
        <v>3697900</v>
      </c>
      <c r="U47" s="1">
        <f t="shared" si="63"/>
        <v>2.276968008869899E-2</v>
      </c>
      <c r="V47" s="1">
        <f t="shared" si="65"/>
        <v>3.4208604883852994E-2</v>
      </c>
      <c r="W47" s="1">
        <f t="shared" si="66"/>
        <v>7.988317693826226E-2</v>
      </c>
      <c r="X47" s="1">
        <f t="shared" si="67"/>
        <v>8.3587982368371241E-2</v>
      </c>
      <c r="Y47" s="1">
        <f t="shared" si="68"/>
        <v>0.12006814678601369</v>
      </c>
      <c r="Z47" s="1">
        <f t="shared" si="69"/>
        <v>0.13545525838989697</v>
      </c>
      <c r="AA47" s="1">
        <f t="shared" si="70"/>
        <v>0.47591876470429162</v>
      </c>
      <c r="AB47" s="1">
        <f t="shared" si="71"/>
        <v>1.8280645771924606E-2</v>
      </c>
      <c r="AC47" s="1">
        <f t="shared" si="72"/>
        <v>4.1077368236025855E-2</v>
      </c>
      <c r="AD47" s="1">
        <f t="shared" si="73"/>
        <v>7.912599042699911E-2</v>
      </c>
      <c r="AE47" s="1">
        <f t="shared" si="74"/>
        <v>7.5204845993672081E-2</v>
      </c>
      <c r="AF47" s="1">
        <f t="shared" si="75"/>
        <v>0.11871602801590092</v>
      </c>
      <c r="AG47" s="1">
        <f t="shared" si="76"/>
        <v>0.19175748397739256</v>
      </c>
      <c r="AH47" s="1">
        <f t="shared" si="77"/>
        <v>0.52408123529570838</v>
      </c>
      <c r="AI47" s="2">
        <f t="shared" si="20"/>
        <v>9.7909624381405658E-2</v>
      </c>
      <c r="AJ47" s="2">
        <f t="shared" si="21"/>
        <v>0.14709700100056786</v>
      </c>
      <c r="AK47" s="2">
        <f t="shared" si="22"/>
        <v>0.34349766083452771</v>
      </c>
      <c r="AL47" s="2">
        <f t="shared" si="23"/>
        <v>0.35942832418399634</v>
      </c>
      <c r="AM47" s="2">
        <f t="shared" si="24"/>
        <v>0.51629303117985881</v>
      </c>
      <c r="AN47" s="2">
        <f t="shared" si="25"/>
        <v>0.58245761107655691</v>
      </c>
      <c r="AO47" s="2">
        <f t="shared" si="26"/>
        <v>2.0464506882284539</v>
      </c>
      <c r="AP47" s="2">
        <f t="shared" si="27"/>
        <v>7.8606776819275803E-2</v>
      </c>
      <c r="AQ47" s="2">
        <f t="shared" si="28"/>
        <v>0.17663268341491117</v>
      </c>
      <c r="AR47" s="2">
        <f t="shared" si="29"/>
        <v>0.34024175883609614</v>
      </c>
      <c r="AS47" s="2">
        <f t="shared" si="30"/>
        <v>0.32338083777278992</v>
      </c>
      <c r="AT47" s="2">
        <f t="shared" si="31"/>
        <v>0.51047892046837395</v>
      </c>
      <c r="AU47" s="2">
        <f t="shared" si="32"/>
        <v>0.82455718110278797</v>
      </c>
      <c r="AV47" s="2">
        <f t="shared" si="33"/>
        <v>2.2535493117715459</v>
      </c>
      <c r="AW47">
        <v>219900</v>
      </c>
      <c r="AX47" s="33">
        <v>488309000</v>
      </c>
      <c r="AY47" s="33">
        <f t="shared" si="34"/>
        <v>127544000</v>
      </c>
      <c r="AZ47">
        <v>228523000</v>
      </c>
      <c r="BA47">
        <v>35864000</v>
      </c>
      <c r="BB47">
        <v>12506000</v>
      </c>
      <c r="BC47">
        <v>15855000</v>
      </c>
      <c r="BD47">
        <v>6959000</v>
      </c>
      <c r="BE47">
        <v>100979000</v>
      </c>
      <c r="BF47">
        <v>15322000</v>
      </c>
      <c r="BG47">
        <v>20208000</v>
      </c>
      <c r="BH47">
        <v>18823000</v>
      </c>
      <c r="BI47">
        <v>2008000</v>
      </c>
      <c r="BJ47">
        <v>183287000</v>
      </c>
      <c r="BK47">
        <v>139737000</v>
      </c>
      <c r="BL47">
        <v>76499000</v>
      </c>
      <c r="BM47">
        <v>20609000</v>
      </c>
      <c r="BN47" s="1">
        <f t="shared" si="64"/>
        <v>0.46798850727715441</v>
      </c>
      <c r="BO47" s="1">
        <f t="shared" si="78"/>
        <v>7.3445297956826514E-2</v>
      </c>
      <c r="BP47" s="1">
        <f t="shared" si="79"/>
        <v>2.5610832485168204E-2</v>
      </c>
      <c r="BQ47" s="1">
        <f t="shared" si="80"/>
        <v>3.24691947107262E-2</v>
      </c>
      <c r="BR47" s="1">
        <f t="shared" si="81"/>
        <v>1.4251222074547059E-2</v>
      </c>
      <c r="BS47" s="1">
        <f t="shared" si="82"/>
        <v>0.20679323952661122</v>
      </c>
      <c r="BT47" s="1">
        <f t="shared" si="83"/>
        <v>3.1377672744102608E-2</v>
      </c>
      <c r="BU47" s="1">
        <f t="shared" si="84"/>
        <v>4.1383632085421319E-2</v>
      </c>
      <c r="BV47" s="1">
        <f t="shared" si="85"/>
        <v>3.8547313279091722E-2</v>
      </c>
      <c r="BW47" s="1">
        <f t="shared" si="86"/>
        <v>4.1121502982742484E-3</v>
      </c>
      <c r="BX47" s="1">
        <f t="shared" si="87"/>
        <v>0.37535044408356183</v>
      </c>
      <c r="BY47" s="1">
        <f t="shared" si="88"/>
        <v>0.28616511266431705</v>
      </c>
      <c r="BZ47" s="1">
        <f t="shared" si="89"/>
        <v>0.15666104863928373</v>
      </c>
      <c r="CA47" s="1">
        <f t="shared" si="90"/>
        <v>4.2204833414907363E-2</v>
      </c>
      <c r="CB47" s="2">
        <f t="shared" si="48"/>
        <v>2.0123505812917637</v>
      </c>
      <c r="CC47" s="2">
        <f t="shared" si="49"/>
        <v>0.31581478121435397</v>
      </c>
      <c r="CD47" s="2">
        <f t="shared" si="50"/>
        <v>0.11012657968622327</v>
      </c>
      <c r="CE47" s="2">
        <f t="shared" si="51"/>
        <v>0.13961753725612266</v>
      </c>
      <c r="CF47" s="2">
        <f t="shared" si="52"/>
        <v>6.1280254920552349E-2</v>
      </c>
      <c r="CG47" s="2">
        <f t="shared" si="53"/>
        <v>0.88921092996442819</v>
      </c>
      <c r="CH47" s="2">
        <f t="shared" si="54"/>
        <v>0.13492399279964121</v>
      </c>
      <c r="CI47" s="2">
        <f t="shared" si="55"/>
        <v>0.17794961796731168</v>
      </c>
      <c r="CJ47" s="2">
        <f t="shared" si="56"/>
        <v>0.1657534471000944</v>
      </c>
      <c r="CK47" s="2">
        <f t="shared" si="57"/>
        <v>1.7682246282579268E-2</v>
      </c>
      <c r="CL47" s="2">
        <f t="shared" si="58"/>
        <v>1.6140069095593157</v>
      </c>
      <c r="CM47" s="2">
        <f t="shared" si="59"/>
        <v>1.2305099844565632</v>
      </c>
      <c r="CN47" s="2">
        <f t="shared" si="60"/>
        <v>0.67364250914891999</v>
      </c>
      <c r="CO47" s="2">
        <f t="shared" si="61"/>
        <v>0.18148078368410164</v>
      </c>
    </row>
    <row r="48" spans="1:93" x14ac:dyDescent="0.25">
      <c r="A48" s="29">
        <v>31</v>
      </c>
      <c r="B48" t="s">
        <v>40</v>
      </c>
      <c r="C48">
        <v>175486</v>
      </c>
      <c r="D48">
        <v>0.26</v>
      </c>
      <c r="E48">
        <v>0.82</v>
      </c>
      <c r="F48">
        <v>12100</v>
      </c>
      <c r="G48">
        <v>29200</v>
      </c>
      <c r="H48">
        <v>46400</v>
      </c>
      <c r="I48">
        <v>32300</v>
      </c>
      <c r="J48">
        <v>31400</v>
      </c>
      <c r="K48">
        <v>28400</v>
      </c>
      <c r="L48">
        <v>180100</v>
      </c>
      <c r="M48">
        <v>10200</v>
      </c>
      <c r="N48">
        <v>34700</v>
      </c>
      <c r="O48">
        <v>68100</v>
      </c>
      <c r="P48">
        <v>38000</v>
      </c>
      <c r="Q48">
        <v>30500</v>
      </c>
      <c r="R48">
        <v>39300</v>
      </c>
      <c r="S48">
        <v>220700</v>
      </c>
      <c r="T48">
        <f t="shared" si="62"/>
        <v>400800</v>
      </c>
      <c r="U48" s="1">
        <f t="shared" si="63"/>
        <v>3.0189620758483034E-2</v>
      </c>
      <c r="V48" s="1">
        <f t="shared" si="65"/>
        <v>7.2854291417165665E-2</v>
      </c>
      <c r="W48" s="1">
        <f t="shared" si="66"/>
        <v>0.1157684630738523</v>
      </c>
      <c r="X48" s="1">
        <f t="shared" si="67"/>
        <v>8.0588822355289427E-2</v>
      </c>
      <c r="Y48" s="1">
        <f t="shared" si="68"/>
        <v>7.8343313373253495E-2</v>
      </c>
      <c r="Z48" s="1">
        <f t="shared" si="69"/>
        <v>7.0858283433133731E-2</v>
      </c>
      <c r="AA48" s="1">
        <f t="shared" si="70"/>
        <v>0.44935129740518964</v>
      </c>
      <c r="AB48" s="1">
        <f t="shared" si="71"/>
        <v>2.5449101796407185E-2</v>
      </c>
      <c r="AC48" s="1">
        <f t="shared" si="72"/>
        <v>8.6576846307385227E-2</v>
      </c>
      <c r="AD48" s="1">
        <f t="shared" si="73"/>
        <v>0.16991017964071856</v>
      </c>
      <c r="AE48" s="1">
        <f t="shared" si="74"/>
        <v>9.4810379241516959E-2</v>
      </c>
      <c r="AF48" s="1">
        <f t="shared" si="75"/>
        <v>7.6097804391217563E-2</v>
      </c>
      <c r="AG48" s="1">
        <f t="shared" si="76"/>
        <v>9.8053892215568858E-2</v>
      </c>
      <c r="AH48" s="1">
        <f t="shared" si="77"/>
        <v>0.55064870259481036</v>
      </c>
      <c r="AI48" s="2">
        <f t="shared" si="20"/>
        <v>2.4755489021956085E-2</v>
      </c>
      <c r="AJ48" s="2">
        <f t="shared" si="21"/>
        <v>5.9740518962075842E-2</v>
      </c>
      <c r="AK48" s="2">
        <f t="shared" si="22"/>
        <v>9.4930139720558887E-2</v>
      </c>
      <c r="AL48" s="2">
        <f t="shared" si="23"/>
        <v>6.6082834331337326E-2</v>
      </c>
      <c r="AM48" s="2">
        <f t="shared" si="24"/>
        <v>6.4241516966067863E-2</v>
      </c>
      <c r="AN48" s="2">
        <f t="shared" si="25"/>
        <v>5.8103792415169657E-2</v>
      </c>
      <c r="AO48" s="2">
        <f t="shared" si="26"/>
        <v>0.3684680638722555</v>
      </c>
      <c r="AP48" s="2">
        <f t="shared" si="27"/>
        <v>2.0868263473053889E-2</v>
      </c>
      <c r="AQ48" s="2">
        <f t="shared" si="28"/>
        <v>7.0993013972055888E-2</v>
      </c>
      <c r="AR48" s="2">
        <f t="shared" si="29"/>
        <v>0.1393263473053892</v>
      </c>
      <c r="AS48" s="2">
        <f t="shared" si="30"/>
        <v>7.7744510978043899E-2</v>
      </c>
      <c r="AT48" s="2">
        <f t="shared" si="31"/>
        <v>6.2400199600798401E-2</v>
      </c>
      <c r="AU48" s="2">
        <f t="shared" si="32"/>
        <v>8.0404191616766457E-2</v>
      </c>
      <c r="AV48" s="2">
        <f t="shared" si="33"/>
        <v>0.45153193612774445</v>
      </c>
      <c r="AW48">
        <v>177700</v>
      </c>
      <c r="AX48" s="33">
        <v>965286000</v>
      </c>
      <c r="AY48" s="33">
        <f t="shared" si="34"/>
        <v>454418000</v>
      </c>
      <c r="AZ48">
        <v>533390000</v>
      </c>
      <c r="BA48">
        <v>19455000</v>
      </c>
      <c r="BB48">
        <v>70861000</v>
      </c>
      <c r="BC48">
        <v>80767000</v>
      </c>
      <c r="BD48">
        <v>15751000</v>
      </c>
      <c r="BE48">
        <v>78972000</v>
      </c>
      <c r="BF48">
        <v>176721000</v>
      </c>
      <c r="BG48">
        <v>3270000</v>
      </c>
      <c r="BH48">
        <v>86719000</v>
      </c>
      <c r="BI48">
        <v>874000</v>
      </c>
      <c r="BJ48">
        <v>330064000</v>
      </c>
      <c r="BK48">
        <v>197061000</v>
      </c>
      <c r="BL48">
        <v>101832000</v>
      </c>
      <c r="BM48">
        <v>15261000</v>
      </c>
      <c r="BN48" s="1">
        <f t="shared" si="64"/>
        <v>0.55257198384727424</v>
      </c>
      <c r="BO48" s="1">
        <f t="shared" si="78"/>
        <v>2.0154648466879248E-2</v>
      </c>
      <c r="BP48" s="1">
        <f t="shared" si="79"/>
        <v>7.3409331534902603E-2</v>
      </c>
      <c r="BQ48" s="1">
        <f t="shared" si="80"/>
        <v>8.3671575056511752E-2</v>
      </c>
      <c r="BR48" s="1">
        <f t="shared" si="81"/>
        <v>1.6317443742061937E-2</v>
      </c>
      <c r="BS48" s="1">
        <f t="shared" si="82"/>
        <v>8.1812022550829491E-2</v>
      </c>
      <c r="BT48" s="1">
        <f t="shared" si="83"/>
        <v>0.1830763110622137</v>
      </c>
      <c r="BU48" s="1">
        <f t="shared" si="84"/>
        <v>3.3875970437776989E-3</v>
      </c>
      <c r="BV48" s="1">
        <f t="shared" si="85"/>
        <v>8.9837623253626389E-2</v>
      </c>
      <c r="BW48" s="1">
        <f t="shared" si="86"/>
        <v>9.0543113647147068E-4</v>
      </c>
      <c r="BX48" s="1">
        <f t="shared" si="87"/>
        <v>0.34193389316741357</v>
      </c>
      <c r="BY48" s="1">
        <f t="shared" si="88"/>
        <v>0.20414778625195021</v>
      </c>
      <c r="BZ48" s="1">
        <f t="shared" si="89"/>
        <v>0.10549412298531212</v>
      </c>
      <c r="CA48" s="1">
        <f t="shared" si="90"/>
        <v>1.5809822166694638E-2</v>
      </c>
      <c r="CB48" s="2">
        <f t="shared" si="48"/>
        <v>0.45310902675476483</v>
      </c>
      <c r="CC48" s="2">
        <f t="shared" si="49"/>
        <v>1.6526811742840982E-2</v>
      </c>
      <c r="CD48" s="2">
        <f t="shared" si="50"/>
        <v>6.0195651858620129E-2</v>
      </c>
      <c r="CE48" s="2">
        <f t="shared" si="51"/>
        <v>6.8610691546339628E-2</v>
      </c>
      <c r="CF48" s="2">
        <f t="shared" si="52"/>
        <v>1.3380303868490788E-2</v>
      </c>
      <c r="CG48" s="2">
        <f t="shared" si="53"/>
        <v>6.7085858491680181E-2</v>
      </c>
      <c r="CH48" s="2">
        <f t="shared" si="54"/>
        <v>0.15012257507101523</v>
      </c>
      <c r="CI48" s="2">
        <f t="shared" si="55"/>
        <v>2.7778295758977131E-3</v>
      </c>
      <c r="CJ48" s="2">
        <f t="shared" si="56"/>
        <v>7.3666851067973632E-2</v>
      </c>
      <c r="CK48" s="2">
        <f t="shared" si="57"/>
        <v>7.4245353190660591E-4</v>
      </c>
      <c r="CL48" s="2">
        <f t="shared" si="58"/>
        <v>0.28038579239727912</v>
      </c>
      <c r="CM48" s="2">
        <f t="shared" si="59"/>
        <v>0.16740118472659915</v>
      </c>
      <c r="CN48" s="2">
        <f t="shared" si="60"/>
        <v>8.6505180847955929E-2</v>
      </c>
      <c r="CO48" s="2">
        <f t="shared" si="61"/>
        <v>1.2964054176689603E-2</v>
      </c>
    </row>
    <row r="49" spans="1:93" x14ac:dyDescent="0.25">
      <c r="A49" s="29">
        <v>24</v>
      </c>
      <c r="B49" t="s">
        <v>41</v>
      </c>
      <c r="C49">
        <v>427305</v>
      </c>
      <c r="D49">
        <v>0.64</v>
      </c>
      <c r="E49">
        <v>1.67</v>
      </c>
      <c r="F49">
        <v>7000</v>
      </c>
      <c r="G49">
        <v>39100</v>
      </c>
      <c r="H49">
        <v>57700</v>
      </c>
      <c r="I49">
        <v>28700</v>
      </c>
      <c r="J49">
        <v>22700</v>
      </c>
      <c r="K49">
        <v>31600</v>
      </c>
      <c r="L49">
        <v>186800</v>
      </c>
      <c r="M49">
        <v>4200</v>
      </c>
      <c r="N49">
        <v>49000</v>
      </c>
      <c r="O49">
        <v>63100</v>
      </c>
      <c r="P49">
        <v>38100</v>
      </c>
      <c r="Q49">
        <v>34200</v>
      </c>
      <c r="R49">
        <v>58900</v>
      </c>
      <c r="S49">
        <v>247600</v>
      </c>
      <c r="T49">
        <f t="shared" si="62"/>
        <v>434400</v>
      </c>
      <c r="U49" s="1">
        <f t="shared" si="63"/>
        <v>1.6114180478821363E-2</v>
      </c>
      <c r="V49" s="1">
        <f t="shared" si="65"/>
        <v>9.0009208103130761E-2</v>
      </c>
      <c r="W49" s="1">
        <f t="shared" si="66"/>
        <v>0.13282688766114181</v>
      </c>
      <c r="X49" s="1">
        <f t="shared" si="67"/>
        <v>6.6068139963167585E-2</v>
      </c>
      <c r="Y49" s="1">
        <f t="shared" si="68"/>
        <v>5.2255985267034989E-2</v>
      </c>
      <c r="Z49" s="1">
        <f t="shared" si="69"/>
        <v>7.2744014732965004E-2</v>
      </c>
      <c r="AA49" s="1">
        <f t="shared" si="70"/>
        <v>0.43001841620626152</v>
      </c>
      <c r="AB49" s="1">
        <f t="shared" si="71"/>
        <v>9.6685082872928173E-3</v>
      </c>
      <c r="AC49" s="1">
        <f t="shared" si="72"/>
        <v>0.11279926335174954</v>
      </c>
      <c r="AD49" s="1">
        <f t="shared" si="73"/>
        <v>0.14525782688766115</v>
      </c>
      <c r="AE49" s="1">
        <f t="shared" si="74"/>
        <v>8.7707182320441987E-2</v>
      </c>
      <c r="AF49" s="1">
        <f t="shared" si="75"/>
        <v>7.8729281767955794E-2</v>
      </c>
      <c r="AG49" s="1">
        <f t="shared" si="76"/>
        <v>0.13558931860036832</v>
      </c>
      <c r="AH49" s="1">
        <f t="shared" si="77"/>
        <v>0.56998158379373853</v>
      </c>
      <c r="AI49" s="2">
        <f t="shared" si="20"/>
        <v>2.6910681399631677E-2</v>
      </c>
      <c r="AJ49" s="2">
        <f t="shared" si="21"/>
        <v>0.15031537753222837</v>
      </c>
      <c r="AK49" s="2">
        <f t="shared" si="22"/>
        <v>0.22182090239410682</v>
      </c>
      <c r="AL49" s="2">
        <f t="shared" si="23"/>
        <v>0.11033379373848987</v>
      </c>
      <c r="AM49" s="2">
        <f t="shared" si="24"/>
        <v>8.7267495395948427E-2</v>
      </c>
      <c r="AN49" s="2">
        <f t="shared" si="25"/>
        <v>0.12148250460405155</v>
      </c>
      <c r="AO49" s="2">
        <f t="shared" si="26"/>
        <v>0.71813075506445667</v>
      </c>
      <c r="AP49" s="2">
        <f t="shared" si="27"/>
        <v>1.6146408839779004E-2</v>
      </c>
      <c r="AQ49" s="2">
        <f t="shared" si="28"/>
        <v>0.18837476979742174</v>
      </c>
      <c r="AR49" s="2">
        <f t="shared" si="29"/>
        <v>0.2425805709023941</v>
      </c>
      <c r="AS49" s="2">
        <f t="shared" si="30"/>
        <v>0.14647099447513812</v>
      </c>
      <c r="AT49" s="2">
        <f t="shared" si="31"/>
        <v>0.13147790055248618</v>
      </c>
      <c r="AU49" s="2">
        <f t="shared" si="32"/>
        <v>0.2264341620626151</v>
      </c>
      <c r="AV49" s="2">
        <f t="shared" si="33"/>
        <v>0.95186924493554326</v>
      </c>
      <c r="AW49">
        <v>434400</v>
      </c>
      <c r="AX49" s="33">
        <v>1633760000</v>
      </c>
      <c r="AY49" s="33">
        <f t="shared" si="34"/>
        <v>256708000</v>
      </c>
      <c r="AZ49">
        <v>348414000</v>
      </c>
      <c r="BA49">
        <v>66975000</v>
      </c>
      <c r="BB49">
        <v>58241000</v>
      </c>
      <c r="BC49">
        <v>15154000</v>
      </c>
      <c r="BD49">
        <v>16964000</v>
      </c>
      <c r="BE49">
        <v>91706000</v>
      </c>
      <c r="BF49">
        <v>26260000</v>
      </c>
      <c r="BG49">
        <v>9943000</v>
      </c>
      <c r="BH49">
        <v>62269000</v>
      </c>
      <c r="BI49">
        <v>902000</v>
      </c>
      <c r="BJ49">
        <v>1071500000</v>
      </c>
      <c r="BK49">
        <v>133707000</v>
      </c>
      <c r="BL49">
        <v>213847000</v>
      </c>
      <c r="BM49">
        <v>61767000</v>
      </c>
      <c r="BN49" s="1">
        <f t="shared" si="64"/>
        <v>0.21325898540789345</v>
      </c>
      <c r="BO49" s="1">
        <f t="shared" si="78"/>
        <v>4.0994393301341692E-2</v>
      </c>
      <c r="BP49" s="1">
        <f t="shared" si="79"/>
        <v>3.5648442855743805E-2</v>
      </c>
      <c r="BQ49" s="1">
        <f t="shared" si="80"/>
        <v>9.2755361864655765E-3</v>
      </c>
      <c r="BR49" s="1">
        <f t="shared" si="81"/>
        <v>1.0383410047987464E-2</v>
      </c>
      <c r="BS49" s="1">
        <f t="shared" si="82"/>
        <v>5.6131867593771423E-2</v>
      </c>
      <c r="BT49" s="1">
        <f t="shared" si="83"/>
        <v>1.6073352267162864E-2</v>
      </c>
      <c r="BU49" s="1">
        <f t="shared" si="84"/>
        <v>6.0859612182939966E-3</v>
      </c>
      <c r="BV49" s="1">
        <f t="shared" si="85"/>
        <v>3.8113921261384784E-2</v>
      </c>
      <c r="BW49" s="1">
        <f t="shared" si="86"/>
        <v>5.5210067574184706E-4</v>
      </c>
      <c r="BX49" s="1">
        <f t="shared" si="87"/>
        <v>0.65584908432083044</v>
      </c>
      <c r="BY49" s="1">
        <f t="shared" si="88"/>
        <v>8.1840049946136514E-2</v>
      </c>
      <c r="BZ49" s="1">
        <f t="shared" si="89"/>
        <v>0.13089254235628245</v>
      </c>
      <c r="CA49" s="1">
        <f t="shared" si="90"/>
        <v>3.7806654588189208E-2</v>
      </c>
      <c r="CB49" s="2">
        <f t="shared" si="48"/>
        <v>0.35614250563118205</v>
      </c>
      <c r="CC49" s="2">
        <f t="shared" si="49"/>
        <v>6.8460636813240619E-2</v>
      </c>
      <c r="CD49" s="2">
        <f t="shared" si="50"/>
        <v>5.9532899569092149E-2</v>
      </c>
      <c r="CE49" s="2">
        <f t="shared" si="51"/>
        <v>1.5490145431397512E-2</v>
      </c>
      <c r="CF49" s="2">
        <f t="shared" si="52"/>
        <v>1.7340294780139064E-2</v>
      </c>
      <c r="CG49" s="2">
        <f t="shared" si="53"/>
        <v>9.3740218881598267E-2</v>
      </c>
      <c r="CH49" s="2">
        <f t="shared" si="54"/>
        <v>2.6842498286161982E-2</v>
      </c>
      <c r="CI49" s="2">
        <f t="shared" si="55"/>
        <v>1.0163555234550974E-2</v>
      </c>
      <c r="CJ49" s="2">
        <f t="shared" si="56"/>
        <v>6.3650248506512588E-2</v>
      </c>
      <c r="CK49" s="2">
        <f t="shared" si="57"/>
        <v>9.2200812848888456E-4</v>
      </c>
      <c r="CL49" s="2">
        <f t="shared" si="58"/>
        <v>1.0952679708157869</v>
      </c>
      <c r="CM49" s="2">
        <f t="shared" si="59"/>
        <v>0.13667288341004796</v>
      </c>
      <c r="CN49" s="2">
        <f t="shared" si="60"/>
        <v>0.21859054573499168</v>
      </c>
      <c r="CO49" s="2">
        <f t="shared" si="61"/>
        <v>6.3137113162275979E-2</v>
      </c>
    </row>
    <row r="50" spans="1:93" x14ac:dyDescent="0.25">
      <c r="A50" s="29">
        <v>30</v>
      </c>
      <c r="B50" t="s">
        <v>42</v>
      </c>
      <c r="C50">
        <v>97635</v>
      </c>
      <c r="D50">
        <v>0.15</v>
      </c>
      <c r="E50">
        <v>1.1200000000000001</v>
      </c>
      <c r="F50">
        <v>4200</v>
      </c>
      <c r="G50">
        <v>14700</v>
      </c>
      <c r="H50">
        <v>34600</v>
      </c>
      <c r="I50">
        <v>22300</v>
      </c>
      <c r="J50">
        <v>19900</v>
      </c>
      <c r="K50">
        <v>13900</v>
      </c>
      <c r="L50">
        <v>109500</v>
      </c>
      <c r="M50">
        <v>3500</v>
      </c>
      <c r="N50">
        <v>10700</v>
      </c>
      <c r="O50">
        <v>23900</v>
      </c>
      <c r="P50">
        <v>16200</v>
      </c>
      <c r="Q50">
        <v>15100</v>
      </c>
      <c r="R50">
        <v>16100</v>
      </c>
      <c r="S50">
        <v>85500</v>
      </c>
      <c r="T50">
        <f t="shared" si="62"/>
        <v>195000</v>
      </c>
      <c r="U50" s="1">
        <f t="shared" si="63"/>
        <v>2.1538461538461538E-2</v>
      </c>
      <c r="V50" s="1">
        <f t="shared" si="65"/>
        <v>7.5384615384615383E-2</v>
      </c>
      <c r="W50" s="1">
        <f t="shared" si="66"/>
        <v>0.17743589743589744</v>
      </c>
      <c r="X50" s="1">
        <f t="shared" si="67"/>
        <v>0.11435897435897435</v>
      </c>
      <c r="Y50" s="1">
        <f t="shared" si="68"/>
        <v>0.10205128205128206</v>
      </c>
      <c r="Z50" s="1">
        <f t="shared" si="69"/>
        <v>7.1282051282051284E-2</v>
      </c>
      <c r="AA50" s="1">
        <f t="shared" si="70"/>
        <v>0.56153846153846154</v>
      </c>
      <c r="AB50" s="1">
        <f t="shared" si="71"/>
        <v>1.7948717948717947E-2</v>
      </c>
      <c r="AC50" s="1">
        <f t="shared" si="72"/>
        <v>5.4871794871794874E-2</v>
      </c>
      <c r="AD50" s="1">
        <f t="shared" si="73"/>
        <v>0.12256410256410256</v>
      </c>
      <c r="AE50" s="1">
        <f t="shared" si="74"/>
        <v>8.3076923076923076E-2</v>
      </c>
      <c r="AF50" s="1">
        <f t="shared" si="75"/>
        <v>7.7435897435897433E-2</v>
      </c>
      <c r="AG50" s="1">
        <f t="shared" si="76"/>
        <v>8.2564102564102571E-2</v>
      </c>
      <c r="AH50" s="1">
        <f t="shared" si="77"/>
        <v>0.43846153846153846</v>
      </c>
      <c r="AI50" s="2">
        <f t="shared" si="20"/>
        <v>2.4123076923076924E-2</v>
      </c>
      <c r="AJ50" s="2">
        <f t="shared" si="21"/>
        <v>8.443076923076924E-2</v>
      </c>
      <c r="AK50" s="2">
        <f t="shared" si="22"/>
        <v>0.19872820512820516</v>
      </c>
      <c r="AL50" s="2">
        <f t="shared" si="23"/>
        <v>0.12808205128205127</v>
      </c>
      <c r="AM50" s="2">
        <f t="shared" si="24"/>
        <v>0.11429743589743591</v>
      </c>
      <c r="AN50" s="2">
        <f t="shared" si="25"/>
        <v>7.9835897435897446E-2</v>
      </c>
      <c r="AO50" s="2">
        <f t="shared" si="26"/>
        <v>0.62892307692307703</v>
      </c>
      <c r="AP50" s="2">
        <f t="shared" si="27"/>
        <v>2.0102564102564103E-2</v>
      </c>
      <c r="AQ50" s="2">
        <f t="shared" si="28"/>
        <v>6.1456410256410264E-2</v>
      </c>
      <c r="AR50" s="2">
        <f t="shared" si="29"/>
        <v>0.13727179487179489</v>
      </c>
      <c r="AS50" s="2">
        <f t="shared" si="30"/>
        <v>9.3046153846153848E-2</v>
      </c>
      <c r="AT50" s="2">
        <f t="shared" si="31"/>
        <v>8.672820512820513E-2</v>
      </c>
      <c r="AU50" s="2">
        <f t="shared" si="32"/>
        <v>9.2471794871794882E-2</v>
      </c>
      <c r="AV50" s="2">
        <f t="shared" si="33"/>
        <v>0.49107692307692313</v>
      </c>
      <c r="AW50">
        <v>270400</v>
      </c>
      <c r="AX50" s="33">
        <v>1087750000</v>
      </c>
      <c r="AY50" s="33">
        <f t="shared" si="34"/>
        <v>668946000</v>
      </c>
      <c r="AZ50">
        <v>837815000</v>
      </c>
      <c r="BA50">
        <v>40376000</v>
      </c>
      <c r="BB50">
        <v>247549000</v>
      </c>
      <c r="BC50">
        <v>144379000</v>
      </c>
      <c r="BD50">
        <v>29435000</v>
      </c>
      <c r="BE50">
        <v>168869000</v>
      </c>
      <c r="BF50">
        <v>129301000</v>
      </c>
      <c r="BG50">
        <v>5628000</v>
      </c>
      <c r="BH50">
        <v>69667000</v>
      </c>
      <c r="BI50">
        <v>2610000</v>
      </c>
      <c r="BJ50">
        <v>187199000</v>
      </c>
      <c r="BK50">
        <v>57175000</v>
      </c>
      <c r="BL50">
        <v>62735000</v>
      </c>
      <c r="BM50">
        <v>7587000</v>
      </c>
      <c r="BN50" s="1">
        <f t="shared" si="64"/>
        <v>0.77022753390025278</v>
      </c>
      <c r="BO50" s="1">
        <f t="shared" si="78"/>
        <v>3.7118823259020918E-2</v>
      </c>
      <c r="BP50" s="1">
        <f t="shared" si="79"/>
        <v>0.22757894736842105</v>
      </c>
      <c r="BQ50" s="1">
        <f t="shared" si="80"/>
        <v>0.13273178579636866</v>
      </c>
      <c r="BR50" s="1">
        <f t="shared" si="81"/>
        <v>2.7060445874511608E-2</v>
      </c>
      <c r="BS50" s="1">
        <f t="shared" si="82"/>
        <v>0.1552461503102735</v>
      </c>
      <c r="BT50" s="1">
        <f t="shared" si="83"/>
        <v>0.11887014479430016</v>
      </c>
      <c r="BU50" s="1">
        <f t="shared" si="84"/>
        <v>5.1739829924155366E-3</v>
      </c>
      <c r="BV50" s="1">
        <f t="shared" si="85"/>
        <v>6.4046885773385423E-2</v>
      </c>
      <c r="BW50" s="1">
        <f t="shared" si="86"/>
        <v>2.3994484026660539E-3</v>
      </c>
      <c r="BX50" s="1">
        <f t="shared" si="87"/>
        <v>0.1720974488623305</v>
      </c>
      <c r="BY50" s="1">
        <f t="shared" si="88"/>
        <v>5.2562629280625141E-2</v>
      </c>
      <c r="BZ50" s="1">
        <f t="shared" si="89"/>
        <v>5.7674097908526775E-2</v>
      </c>
      <c r="CA50" s="1">
        <f t="shared" si="90"/>
        <v>6.9749482877499427E-3</v>
      </c>
      <c r="CB50" s="2">
        <f t="shared" si="48"/>
        <v>0.86265483796828324</v>
      </c>
      <c r="CC50" s="2">
        <f t="shared" si="49"/>
        <v>4.1573082050103433E-2</v>
      </c>
      <c r="CD50" s="2">
        <f t="shared" si="50"/>
        <v>0.2548884210526316</v>
      </c>
      <c r="CE50" s="2">
        <f t="shared" si="51"/>
        <v>0.14865960009193291</v>
      </c>
      <c r="CF50" s="2">
        <f t="shared" si="52"/>
        <v>3.0307699379453004E-2</v>
      </c>
      <c r="CG50" s="2">
        <f t="shared" si="53"/>
        <v>0.17387568834750633</v>
      </c>
      <c r="CH50" s="2">
        <f t="shared" si="54"/>
        <v>0.13313456216961619</v>
      </c>
      <c r="CI50" s="2">
        <f t="shared" si="55"/>
        <v>5.7948609515054011E-3</v>
      </c>
      <c r="CJ50" s="2">
        <f t="shared" si="56"/>
        <v>7.1732512066191675E-2</v>
      </c>
      <c r="CK50" s="2">
        <f t="shared" si="57"/>
        <v>2.6873822109859807E-3</v>
      </c>
      <c r="CL50" s="2">
        <f t="shared" si="58"/>
        <v>0.19274914272581017</v>
      </c>
      <c r="CM50" s="2">
        <f t="shared" si="59"/>
        <v>5.8870144794300167E-2</v>
      </c>
      <c r="CN50" s="2">
        <f t="shared" si="60"/>
        <v>6.4594989657549992E-2</v>
      </c>
      <c r="CO50" s="2">
        <f t="shared" si="61"/>
        <v>7.8119420822799369E-3</v>
      </c>
    </row>
    <row r="51" spans="1:93" x14ac:dyDescent="0.25">
      <c r="A51" s="29">
        <v>25</v>
      </c>
      <c r="B51" t="s">
        <v>43</v>
      </c>
      <c r="C51">
        <v>271583</v>
      </c>
      <c r="D51">
        <v>0.41</v>
      </c>
      <c r="E51">
        <v>1.0900000000000001</v>
      </c>
      <c r="F51">
        <v>100</v>
      </c>
      <c r="G51">
        <v>400</v>
      </c>
      <c r="H51">
        <v>4800</v>
      </c>
      <c r="I51">
        <v>13000</v>
      </c>
      <c r="J51">
        <v>37800</v>
      </c>
      <c r="K51">
        <v>82500</v>
      </c>
      <c r="L51">
        <v>138700</v>
      </c>
      <c r="M51">
        <v>100</v>
      </c>
      <c r="N51">
        <v>500</v>
      </c>
      <c r="O51">
        <v>4800</v>
      </c>
      <c r="P51">
        <v>10700</v>
      </c>
      <c r="Q51">
        <v>29100</v>
      </c>
      <c r="R51">
        <v>86600</v>
      </c>
      <c r="S51">
        <v>131700</v>
      </c>
      <c r="T51">
        <f t="shared" si="62"/>
        <v>270400</v>
      </c>
      <c r="U51" s="1">
        <f t="shared" si="63"/>
        <v>3.6982248520710058E-4</v>
      </c>
      <c r="V51" s="1">
        <f t="shared" si="65"/>
        <v>1.4792899408284023E-3</v>
      </c>
      <c r="W51" s="1">
        <f t="shared" si="66"/>
        <v>1.7751479289940829E-2</v>
      </c>
      <c r="X51" s="1">
        <f t="shared" si="67"/>
        <v>4.807692307692308E-2</v>
      </c>
      <c r="Y51" s="1">
        <f t="shared" si="68"/>
        <v>0.13979289940828402</v>
      </c>
      <c r="Z51" s="1">
        <f t="shared" si="69"/>
        <v>0.30510355029585801</v>
      </c>
      <c r="AA51" s="1">
        <f t="shared" si="70"/>
        <v>0.51294378698224852</v>
      </c>
      <c r="AB51" s="1">
        <f t="shared" si="71"/>
        <v>3.6982248520710058E-4</v>
      </c>
      <c r="AC51" s="1">
        <f t="shared" si="72"/>
        <v>1.8491124260355029E-3</v>
      </c>
      <c r="AD51" s="1">
        <f t="shared" si="73"/>
        <v>1.7751479289940829E-2</v>
      </c>
      <c r="AE51" s="1">
        <f t="shared" si="74"/>
        <v>3.9571005917159764E-2</v>
      </c>
      <c r="AF51" s="1">
        <f t="shared" si="75"/>
        <v>0.10761834319526627</v>
      </c>
      <c r="AG51" s="1">
        <f t="shared" si="76"/>
        <v>0.32026627218934911</v>
      </c>
      <c r="AH51" s="1">
        <f t="shared" si="77"/>
        <v>0.48705621301775148</v>
      </c>
      <c r="AI51" s="2">
        <f t="shared" si="20"/>
        <v>4.0310650887573964E-4</v>
      </c>
      <c r="AJ51" s="2">
        <f t="shared" si="21"/>
        <v>1.6124260355029586E-3</v>
      </c>
      <c r="AK51" s="2">
        <f t="shared" si="22"/>
        <v>1.9349112426035504E-2</v>
      </c>
      <c r="AL51" s="2">
        <f t="shared" si="23"/>
        <v>5.2403846153846162E-2</v>
      </c>
      <c r="AM51" s="2">
        <f t="shared" si="24"/>
        <v>0.1523742603550296</v>
      </c>
      <c r="AN51" s="2">
        <f t="shared" si="25"/>
        <v>0.33256286982248523</v>
      </c>
      <c r="AO51" s="2">
        <f t="shared" si="26"/>
        <v>0.55910872781065091</v>
      </c>
      <c r="AP51" s="2">
        <f t="shared" si="27"/>
        <v>4.0310650887573964E-4</v>
      </c>
      <c r="AQ51" s="2">
        <f t="shared" si="28"/>
        <v>2.0155325443786984E-3</v>
      </c>
      <c r="AR51" s="2">
        <f t="shared" si="29"/>
        <v>1.9349112426035504E-2</v>
      </c>
      <c r="AS51" s="2">
        <f t="shared" si="30"/>
        <v>4.3132396449704145E-2</v>
      </c>
      <c r="AT51" s="2">
        <f t="shared" si="31"/>
        <v>0.11730399408284024</v>
      </c>
      <c r="AU51" s="2">
        <f t="shared" si="32"/>
        <v>0.34909023668639055</v>
      </c>
      <c r="AV51" s="2">
        <f t="shared" si="33"/>
        <v>0.53089127218934917</v>
      </c>
      <c r="AW51">
        <v>723500</v>
      </c>
      <c r="AX51" s="33">
        <v>1943853000</v>
      </c>
      <c r="AY51" s="33">
        <f t="shared" si="34"/>
        <v>632910000</v>
      </c>
      <c r="AZ51">
        <v>873794000</v>
      </c>
      <c r="BA51">
        <v>142444000</v>
      </c>
      <c r="BB51">
        <v>218533000</v>
      </c>
      <c r="BC51">
        <v>35107000</v>
      </c>
      <c r="BD51">
        <v>12101000</v>
      </c>
      <c r="BE51">
        <v>240884000</v>
      </c>
      <c r="BF51">
        <v>134296000</v>
      </c>
      <c r="BG51">
        <v>25259000</v>
      </c>
      <c r="BH51">
        <v>62047000</v>
      </c>
      <c r="BI51">
        <v>3123000</v>
      </c>
      <c r="BJ51">
        <v>879770000</v>
      </c>
      <c r="BK51">
        <v>673850000</v>
      </c>
      <c r="BL51">
        <v>190289000</v>
      </c>
      <c r="BM51">
        <v>38551000</v>
      </c>
      <c r="BN51" s="1">
        <f t="shared" si="64"/>
        <v>0.44951650150500061</v>
      </c>
      <c r="BO51" s="1">
        <f t="shared" si="78"/>
        <v>7.3279203725796133E-2</v>
      </c>
      <c r="BP51" s="1">
        <f t="shared" si="79"/>
        <v>0.11242259574155042</v>
      </c>
      <c r="BQ51" s="1">
        <f t="shared" si="80"/>
        <v>1.8060522066226201E-2</v>
      </c>
      <c r="BR51" s="1">
        <f t="shared" si="81"/>
        <v>6.2252649763125095E-3</v>
      </c>
      <c r="BS51" s="1">
        <f t="shared" si="82"/>
        <v>0.123920893195113</v>
      </c>
      <c r="BT51" s="1">
        <f t="shared" si="83"/>
        <v>6.9087528738026996E-2</v>
      </c>
      <c r="BU51" s="1">
        <f t="shared" si="84"/>
        <v>1.2994295350522905E-2</v>
      </c>
      <c r="BV51" s="1">
        <f t="shared" si="85"/>
        <v>3.1919594743018122E-2</v>
      </c>
      <c r="BW51" s="1">
        <f t="shared" si="86"/>
        <v>1.6066029684343416E-3</v>
      </c>
      <c r="BX51" s="1">
        <f t="shared" si="87"/>
        <v>0.45259080804978563</v>
      </c>
      <c r="BY51" s="1">
        <f t="shared" si="88"/>
        <v>0.34665687168731379</v>
      </c>
      <c r="BZ51" s="1">
        <f t="shared" si="89"/>
        <v>9.7892690445213704E-2</v>
      </c>
      <c r="CA51" s="1">
        <f t="shared" si="90"/>
        <v>1.9832260978582227E-2</v>
      </c>
      <c r="CB51" s="2">
        <f t="shared" si="48"/>
        <v>0.48997298664045069</v>
      </c>
      <c r="CC51" s="2">
        <f t="shared" si="49"/>
        <v>7.9874332061117784E-2</v>
      </c>
      <c r="CD51" s="2">
        <f t="shared" si="50"/>
        <v>0.12254062935828997</v>
      </c>
      <c r="CE51" s="2">
        <f t="shared" si="51"/>
        <v>1.9685969052186562E-2</v>
      </c>
      <c r="CF51" s="2">
        <f t="shared" si="52"/>
        <v>6.7855388241806359E-3</v>
      </c>
      <c r="CG51" s="2">
        <f t="shared" si="53"/>
        <v>0.13507377358267317</v>
      </c>
      <c r="CH51" s="2">
        <f t="shared" si="54"/>
        <v>7.5305406324449431E-2</v>
      </c>
      <c r="CI51" s="2">
        <f t="shared" si="55"/>
        <v>1.4163781932069968E-2</v>
      </c>
      <c r="CJ51" s="2">
        <f t="shared" si="56"/>
        <v>3.4792358269889752E-2</v>
      </c>
      <c r="CK51" s="2">
        <f t="shared" si="57"/>
        <v>1.7511972355934325E-3</v>
      </c>
      <c r="CL51" s="2">
        <f t="shared" si="58"/>
        <v>0.49332398077426637</v>
      </c>
      <c r="CM51" s="2">
        <f t="shared" si="59"/>
        <v>0.37785599013917204</v>
      </c>
      <c r="CN51" s="2">
        <f t="shared" si="60"/>
        <v>0.10670303258528295</v>
      </c>
      <c r="CO51" s="2">
        <f t="shared" si="61"/>
        <v>2.1617164466654629E-2</v>
      </c>
    </row>
    <row r="52" spans="1:93" x14ac:dyDescent="0.25">
      <c r="A52" s="29">
        <v>41</v>
      </c>
      <c r="B52" t="s">
        <v>44</v>
      </c>
      <c r="C52">
        <v>714256</v>
      </c>
      <c r="D52">
        <v>1.1000000000000001</v>
      </c>
      <c r="E52">
        <v>1.87</v>
      </c>
      <c r="F52">
        <v>200</v>
      </c>
      <c r="G52">
        <v>4800</v>
      </c>
      <c r="H52">
        <v>44500</v>
      </c>
      <c r="I52">
        <v>107100</v>
      </c>
      <c r="J52">
        <v>174800</v>
      </c>
      <c r="K52">
        <v>196100</v>
      </c>
      <c r="L52">
        <v>527400</v>
      </c>
      <c r="M52">
        <v>200</v>
      </c>
      <c r="N52">
        <v>7400</v>
      </c>
      <c r="O52">
        <v>40800</v>
      </c>
      <c r="P52">
        <v>45200</v>
      </c>
      <c r="Q52">
        <v>64600</v>
      </c>
      <c r="R52">
        <v>150700</v>
      </c>
      <c r="S52">
        <v>308900</v>
      </c>
      <c r="T52">
        <f t="shared" si="62"/>
        <v>836300</v>
      </c>
      <c r="U52" s="1">
        <f t="shared" si="63"/>
        <v>2.3914863087408825E-4</v>
      </c>
      <c r="V52" s="1">
        <f t="shared" si="65"/>
        <v>5.7395671409781182E-3</v>
      </c>
      <c r="W52" s="1">
        <f t="shared" si="66"/>
        <v>5.3210570369484636E-2</v>
      </c>
      <c r="X52" s="1">
        <f t="shared" si="67"/>
        <v>0.12806409183307427</v>
      </c>
      <c r="Y52" s="1">
        <f t="shared" si="68"/>
        <v>0.20901590338395312</v>
      </c>
      <c r="Z52" s="1">
        <f t="shared" si="69"/>
        <v>0.23448523257204351</v>
      </c>
      <c r="AA52" s="1">
        <f t="shared" si="70"/>
        <v>0.63063493961497075</v>
      </c>
      <c r="AB52" s="1">
        <f t="shared" si="71"/>
        <v>2.3914863087408825E-4</v>
      </c>
      <c r="AC52" s="1">
        <f t="shared" si="72"/>
        <v>8.8484993423412657E-3</v>
      </c>
      <c r="AD52" s="1">
        <f t="shared" si="73"/>
        <v>4.8786320698314005E-2</v>
      </c>
      <c r="AE52" s="1">
        <f t="shared" si="74"/>
        <v>5.4047590577543943E-2</v>
      </c>
      <c r="AF52" s="1">
        <f t="shared" si="75"/>
        <v>7.724500777233051E-2</v>
      </c>
      <c r="AG52" s="1">
        <f t="shared" si="76"/>
        <v>0.18019849336362551</v>
      </c>
      <c r="AH52" s="1">
        <f t="shared" si="77"/>
        <v>0.36936506038502931</v>
      </c>
      <c r="AI52" s="2">
        <f t="shared" si="20"/>
        <v>4.4720793973454504E-4</v>
      </c>
      <c r="AJ52" s="2">
        <f t="shared" si="21"/>
        <v>1.0732990553629081E-2</v>
      </c>
      <c r="AK52" s="2">
        <f t="shared" si="22"/>
        <v>9.950376659093628E-2</v>
      </c>
      <c r="AL52" s="2">
        <f t="shared" si="23"/>
        <v>0.23947985172784889</v>
      </c>
      <c r="AM52" s="2">
        <f t="shared" si="24"/>
        <v>0.39085973932799234</v>
      </c>
      <c r="AN52" s="2">
        <f t="shared" si="25"/>
        <v>0.43848738490972139</v>
      </c>
      <c r="AO52" s="2">
        <f t="shared" si="26"/>
        <v>1.1792873370799954</v>
      </c>
      <c r="AP52" s="2">
        <f t="shared" si="27"/>
        <v>4.4720793973454504E-4</v>
      </c>
      <c r="AQ52" s="2">
        <f t="shared" si="28"/>
        <v>1.6546693770178169E-2</v>
      </c>
      <c r="AR52" s="2">
        <f t="shared" si="29"/>
        <v>9.1230419705847193E-2</v>
      </c>
      <c r="AS52" s="2">
        <f t="shared" si="30"/>
        <v>0.10106899438000717</v>
      </c>
      <c r="AT52" s="2">
        <f t="shared" si="31"/>
        <v>0.14444816453425807</v>
      </c>
      <c r="AU52" s="2">
        <f t="shared" si="32"/>
        <v>0.33697118258997971</v>
      </c>
      <c r="AV52" s="2">
        <f t="shared" si="33"/>
        <v>0.69071266292000488</v>
      </c>
      <c r="AW52">
        <v>311000</v>
      </c>
      <c r="AX52" s="33">
        <v>232444000</v>
      </c>
      <c r="AY52" s="33">
        <f t="shared" si="34"/>
        <v>105202000</v>
      </c>
      <c r="AZ52">
        <v>160237000</v>
      </c>
      <c r="BA52">
        <v>36403000</v>
      </c>
      <c r="BB52">
        <v>12494000</v>
      </c>
      <c r="BC52">
        <v>7066000</v>
      </c>
      <c r="BD52">
        <v>7497000</v>
      </c>
      <c r="BE52">
        <v>55035000</v>
      </c>
      <c r="BF52">
        <v>20616000</v>
      </c>
      <c r="BG52">
        <v>10651000</v>
      </c>
      <c r="BH52">
        <v>8394000</v>
      </c>
      <c r="BI52">
        <v>2083000</v>
      </c>
      <c r="BJ52">
        <v>27898000</v>
      </c>
      <c r="BK52">
        <v>2878000</v>
      </c>
      <c r="BL52">
        <v>44310000</v>
      </c>
      <c r="BM52">
        <v>2108000</v>
      </c>
      <c r="BN52" s="1">
        <f t="shared" si="64"/>
        <v>0.6893574366298979</v>
      </c>
      <c r="BO52" s="1">
        <f t="shared" si="78"/>
        <v>0.15660976407220664</v>
      </c>
      <c r="BP52" s="1">
        <f t="shared" si="79"/>
        <v>5.3750580785049303E-2</v>
      </c>
      <c r="BQ52" s="1">
        <f t="shared" si="80"/>
        <v>3.0398719691624651E-2</v>
      </c>
      <c r="BR52" s="1">
        <f t="shared" si="81"/>
        <v>3.2252929737915367E-2</v>
      </c>
      <c r="BS52" s="1">
        <f t="shared" si="82"/>
        <v>0.23676670509886252</v>
      </c>
      <c r="BT52" s="1">
        <f t="shared" si="83"/>
        <v>8.869233019566003E-2</v>
      </c>
      <c r="BU52" s="1">
        <f t="shared" si="84"/>
        <v>4.5821789334205228E-2</v>
      </c>
      <c r="BV52" s="1">
        <f t="shared" si="85"/>
        <v>3.6111923732167747E-2</v>
      </c>
      <c r="BW52" s="1">
        <f t="shared" si="86"/>
        <v>8.9612982051590923E-3</v>
      </c>
      <c r="BX52" s="1">
        <f t="shared" si="87"/>
        <v>0.12002030596616819</v>
      </c>
      <c r="BY52" s="1">
        <f t="shared" si="88"/>
        <v>1.2381476828827589E-2</v>
      </c>
      <c r="BZ52" s="1">
        <f t="shared" si="89"/>
        <v>0.19062655951541016</v>
      </c>
      <c r="CA52" s="1">
        <f t="shared" si="90"/>
        <v>9.0688509920669059E-3</v>
      </c>
      <c r="CB52" s="2">
        <f t="shared" si="48"/>
        <v>1.2890984064979092</v>
      </c>
      <c r="CC52" s="2">
        <f t="shared" si="49"/>
        <v>0.29286025881502642</v>
      </c>
      <c r="CD52" s="2">
        <f t="shared" si="50"/>
        <v>0.1005135860680422</v>
      </c>
      <c r="CE52" s="2">
        <f t="shared" si="51"/>
        <v>5.68456058233381E-2</v>
      </c>
      <c r="CF52" s="2">
        <f t="shared" si="52"/>
        <v>6.0312978609901743E-2</v>
      </c>
      <c r="CG52" s="2">
        <f t="shared" si="53"/>
        <v>0.44275373853487293</v>
      </c>
      <c r="CH52" s="2">
        <f t="shared" si="54"/>
        <v>0.16585465746588426</v>
      </c>
      <c r="CI52" s="2">
        <f t="shared" si="55"/>
        <v>8.5686746054963778E-2</v>
      </c>
      <c r="CJ52" s="2">
        <f t="shared" si="56"/>
        <v>6.7529297379153697E-2</v>
      </c>
      <c r="CK52" s="2">
        <f t="shared" si="57"/>
        <v>1.6757627643647504E-2</v>
      </c>
      <c r="CL52" s="2">
        <f t="shared" si="58"/>
        <v>0.22443797215673453</v>
      </c>
      <c r="CM52" s="2">
        <f t="shared" si="59"/>
        <v>2.3153361669907592E-2</v>
      </c>
      <c r="CN52" s="2">
        <f t="shared" si="60"/>
        <v>0.35647166629381705</v>
      </c>
      <c r="CO52" s="2">
        <f t="shared" si="61"/>
        <v>1.6958751355165114E-2</v>
      </c>
    </row>
    <row r="53" spans="1:93" x14ac:dyDescent="0.25">
      <c r="A53" s="29">
        <v>23</v>
      </c>
      <c r="B53" t="s">
        <v>45</v>
      </c>
      <c r="C53">
        <v>172358</v>
      </c>
      <c r="D53">
        <v>0.26</v>
      </c>
      <c r="E53">
        <v>1.3</v>
      </c>
      <c r="F53">
        <v>86100</v>
      </c>
      <c r="G53">
        <v>41800</v>
      </c>
      <c r="H53">
        <v>8100</v>
      </c>
      <c r="I53">
        <v>2100</v>
      </c>
      <c r="J53">
        <v>800</v>
      </c>
      <c r="K53">
        <v>500</v>
      </c>
      <c r="L53">
        <v>139400</v>
      </c>
      <c r="M53">
        <v>29400</v>
      </c>
      <c r="N53">
        <v>20500</v>
      </c>
      <c r="O53">
        <v>5200</v>
      </c>
      <c r="P53">
        <v>1700</v>
      </c>
      <c r="Q53">
        <v>800</v>
      </c>
      <c r="R53">
        <v>700</v>
      </c>
      <c r="S53">
        <v>58400</v>
      </c>
      <c r="T53">
        <f t="shared" si="62"/>
        <v>197800</v>
      </c>
      <c r="U53" s="1">
        <f t="shared" si="63"/>
        <v>0.43528816986855412</v>
      </c>
      <c r="V53" s="1">
        <f t="shared" si="65"/>
        <v>0.21132457027300303</v>
      </c>
      <c r="W53" s="1">
        <f t="shared" si="66"/>
        <v>4.0950455005055612E-2</v>
      </c>
      <c r="X53" s="1">
        <f t="shared" si="67"/>
        <v>1.0616784630940344E-2</v>
      </c>
      <c r="Y53" s="1">
        <f t="shared" si="68"/>
        <v>4.0444893832153692E-3</v>
      </c>
      <c r="Z53" s="1">
        <f t="shared" si="69"/>
        <v>2.5278058645096056E-3</v>
      </c>
      <c r="AA53" s="1">
        <f t="shared" si="70"/>
        <v>0.70475227502527804</v>
      </c>
      <c r="AB53" s="1">
        <f t="shared" si="71"/>
        <v>0.14863498483316481</v>
      </c>
      <c r="AC53" s="1">
        <f t="shared" si="72"/>
        <v>0.10364004044489383</v>
      </c>
      <c r="AD53" s="1">
        <f t="shared" si="73"/>
        <v>2.6289180990899899E-2</v>
      </c>
      <c r="AE53" s="1">
        <f t="shared" si="74"/>
        <v>8.5945399393326585E-3</v>
      </c>
      <c r="AF53" s="1">
        <f t="shared" si="75"/>
        <v>4.0444893832153692E-3</v>
      </c>
      <c r="AG53" s="1">
        <f t="shared" si="76"/>
        <v>3.5389282103134479E-3</v>
      </c>
      <c r="AH53" s="1">
        <f t="shared" si="77"/>
        <v>0.29524772497472196</v>
      </c>
      <c r="AI53" s="2">
        <f t="shared" si="20"/>
        <v>0.56587462082912032</v>
      </c>
      <c r="AJ53" s="2">
        <f t="shared" si="21"/>
        <v>0.27472194135490396</v>
      </c>
      <c r="AK53" s="2">
        <f t="shared" si="22"/>
        <v>5.3235591506572297E-2</v>
      </c>
      <c r="AL53" s="2">
        <f t="shared" si="23"/>
        <v>1.3801820020222448E-2</v>
      </c>
      <c r="AM53" s="2">
        <f t="shared" si="24"/>
        <v>5.2578361981799803E-3</v>
      </c>
      <c r="AN53" s="2">
        <f t="shared" si="25"/>
        <v>3.2861476238624874E-3</v>
      </c>
      <c r="AO53" s="2">
        <f t="shared" si="26"/>
        <v>0.91617795753286146</v>
      </c>
      <c r="AP53" s="2">
        <f t="shared" si="27"/>
        <v>0.19322548028311426</v>
      </c>
      <c r="AQ53" s="2">
        <f t="shared" si="28"/>
        <v>0.13473205257836199</v>
      </c>
      <c r="AR53" s="2">
        <f t="shared" si="29"/>
        <v>3.4175935288169867E-2</v>
      </c>
      <c r="AS53" s="2">
        <f t="shared" si="30"/>
        <v>1.1172901921132456E-2</v>
      </c>
      <c r="AT53" s="2">
        <f t="shared" si="31"/>
        <v>5.2578361981799803E-3</v>
      </c>
      <c r="AU53" s="2">
        <f t="shared" si="32"/>
        <v>4.6006066734074827E-3</v>
      </c>
      <c r="AV53" s="2">
        <f t="shared" si="33"/>
        <v>0.38382204246713858</v>
      </c>
      <c r="AW53">
        <v>197800</v>
      </c>
      <c r="AX53" s="33">
        <v>1327756000</v>
      </c>
      <c r="AY53" s="33">
        <f t="shared" si="34"/>
        <v>230096000</v>
      </c>
      <c r="AZ53">
        <v>251144000</v>
      </c>
      <c r="BA53">
        <v>18636000</v>
      </c>
      <c r="BB53">
        <v>3686000</v>
      </c>
      <c r="BC53">
        <v>3034000</v>
      </c>
      <c r="BD53">
        <v>59303000</v>
      </c>
      <c r="BE53">
        <v>21048000</v>
      </c>
      <c r="BF53">
        <v>8962000</v>
      </c>
      <c r="BG53">
        <v>1237000</v>
      </c>
      <c r="BH53">
        <v>135200000</v>
      </c>
      <c r="BI53">
        <v>38000</v>
      </c>
      <c r="BJ53">
        <v>1073533000</v>
      </c>
      <c r="BK53">
        <v>23292000</v>
      </c>
      <c r="BL53">
        <v>3079000</v>
      </c>
      <c r="BM53">
        <v>1558000</v>
      </c>
      <c r="BN53" s="1">
        <f t="shared" si="64"/>
        <v>0.18914921115024147</v>
      </c>
      <c r="BO53" s="1">
        <f t="shared" si="78"/>
        <v>1.4035711380705491E-2</v>
      </c>
      <c r="BP53" s="1">
        <f t="shared" si="79"/>
        <v>2.7761124784975552E-3</v>
      </c>
      <c r="BQ53" s="1">
        <f t="shared" si="80"/>
        <v>2.2850583992842059E-3</v>
      </c>
      <c r="BR53" s="1">
        <f t="shared" si="81"/>
        <v>4.4664079845995804E-2</v>
      </c>
      <c r="BS53" s="1">
        <f t="shared" si="82"/>
        <v>1.5852310213623589E-2</v>
      </c>
      <c r="BT53" s="1">
        <f t="shared" si="83"/>
        <v>6.7497341378988307E-3</v>
      </c>
      <c r="BU53" s="1">
        <f t="shared" si="84"/>
        <v>9.3164707973452949E-4</v>
      </c>
      <c r="BV53" s="1">
        <f t="shared" si="85"/>
        <v>0.10182593789822829</v>
      </c>
      <c r="BW53" s="1">
        <f t="shared" si="86"/>
        <v>2.8619716273170674E-5</v>
      </c>
      <c r="BX53" s="1">
        <f t="shared" si="87"/>
        <v>0.80853183868120349</v>
      </c>
      <c r="BY53" s="1">
        <f t="shared" si="88"/>
        <v>1.754237977459714E-2</v>
      </c>
      <c r="BZ53" s="1">
        <f t="shared" si="89"/>
        <v>2.3189501685550659E-3</v>
      </c>
      <c r="CA53" s="1">
        <f t="shared" si="90"/>
        <v>1.1734083671999975E-3</v>
      </c>
      <c r="CB53" s="2">
        <f t="shared" si="48"/>
        <v>0.24589397449531392</v>
      </c>
      <c r="CC53" s="2">
        <f t="shared" si="49"/>
        <v>1.824642479491714E-2</v>
      </c>
      <c r="CD53" s="2">
        <f t="shared" si="50"/>
        <v>3.6089462220468219E-3</v>
      </c>
      <c r="CE53" s="2">
        <f t="shared" si="51"/>
        <v>2.9705759190694677E-3</v>
      </c>
      <c r="CF53" s="2">
        <f t="shared" si="52"/>
        <v>5.8063303799794547E-2</v>
      </c>
      <c r="CG53" s="2">
        <f t="shared" si="53"/>
        <v>2.0608003277710667E-2</v>
      </c>
      <c r="CH53" s="2">
        <f t="shared" si="54"/>
        <v>8.774654379268481E-3</v>
      </c>
      <c r="CI53" s="2">
        <f t="shared" si="55"/>
        <v>1.2111412036548883E-3</v>
      </c>
      <c r="CJ53" s="2">
        <f t="shared" si="56"/>
        <v>0.13237371926769678</v>
      </c>
      <c r="CK53" s="2">
        <f t="shared" si="57"/>
        <v>3.720563115512188E-5</v>
      </c>
      <c r="CL53" s="2">
        <f t="shared" si="58"/>
        <v>1.0510913902855645</v>
      </c>
      <c r="CM53" s="2">
        <f t="shared" si="59"/>
        <v>2.2805093706976282E-2</v>
      </c>
      <c r="CN53" s="2">
        <f t="shared" si="60"/>
        <v>3.0146352191215858E-3</v>
      </c>
      <c r="CO53" s="2">
        <f t="shared" si="61"/>
        <v>1.5254308773599969E-3</v>
      </c>
    </row>
    <row r="54" spans="1:93" x14ac:dyDescent="0.25">
      <c r="A54" s="29">
        <v>18</v>
      </c>
      <c r="B54" t="s">
        <v>46</v>
      </c>
      <c r="C54">
        <v>475244</v>
      </c>
      <c r="D54">
        <v>0.72</v>
      </c>
      <c r="E54">
        <v>4.76</v>
      </c>
      <c r="F54">
        <v>1100</v>
      </c>
      <c r="G54">
        <v>58500</v>
      </c>
      <c r="H54">
        <v>119600</v>
      </c>
      <c r="I54">
        <v>45300</v>
      </c>
      <c r="J54">
        <v>25600</v>
      </c>
      <c r="K54">
        <v>12800</v>
      </c>
      <c r="L54">
        <v>263000</v>
      </c>
      <c r="M54">
        <v>500</v>
      </c>
      <c r="N54">
        <v>25400</v>
      </c>
      <c r="O54">
        <v>70200</v>
      </c>
      <c r="P54">
        <v>43700</v>
      </c>
      <c r="Q54">
        <v>35100</v>
      </c>
      <c r="R54">
        <v>34300</v>
      </c>
      <c r="S54">
        <v>209100</v>
      </c>
      <c r="T54">
        <f t="shared" si="62"/>
        <v>472100</v>
      </c>
      <c r="U54" s="1">
        <f t="shared" si="63"/>
        <v>2.3300148273670833E-3</v>
      </c>
      <c r="V54" s="1">
        <f t="shared" si="65"/>
        <v>0.1239144249099767</v>
      </c>
      <c r="W54" s="1">
        <f t="shared" si="66"/>
        <v>0.25333615759373013</v>
      </c>
      <c r="X54" s="1">
        <f t="shared" si="67"/>
        <v>9.5954246981571706E-2</v>
      </c>
      <c r="Y54" s="1">
        <f t="shared" si="68"/>
        <v>5.4225799618724847E-2</v>
      </c>
      <c r="Z54" s="1">
        <f t="shared" si="69"/>
        <v>2.7112899809362424E-2</v>
      </c>
      <c r="AA54" s="1">
        <f t="shared" si="70"/>
        <v>0.55708536327049352</v>
      </c>
      <c r="AB54" s="1">
        <f t="shared" si="71"/>
        <v>1.0590976488032196E-3</v>
      </c>
      <c r="AC54" s="1">
        <f t="shared" si="72"/>
        <v>5.380216055920356E-2</v>
      </c>
      <c r="AD54" s="1">
        <f t="shared" si="73"/>
        <v>0.14869730989197205</v>
      </c>
      <c r="AE54" s="1">
        <f t="shared" si="74"/>
        <v>9.2565134505401395E-2</v>
      </c>
      <c r="AF54" s="1">
        <f t="shared" si="75"/>
        <v>7.4348654945986026E-2</v>
      </c>
      <c r="AG54" s="1">
        <f t="shared" si="76"/>
        <v>7.2654098707900863E-2</v>
      </c>
      <c r="AH54" s="1">
        <f t="shared" si="77"/>
        <v>0.44291463672950648</v>
      </c>
      <c r="AI54" s="2">
        <f t="shared" si="20"/>
        <v>1.1090870578267317E-2</v>
      </c>
      <c r="AJ54" s="2">
        <f t="shared" si="21"/>
        <v>0.58983266257148903</v>
      </c>
      <c r="AK54" s="2">
        <f t="shared" si="22"/>
        <v>1.2058801101461554</v>
      </c>
      <c r="AL54" s="2">
        <f t="shared" si="23"/>
        <v>0.45674221563228129</v>
      </c>
      <c r="AM54" s="2">
        <f t="shared" si="24"/>
        <v>0.25811480618513027</v>
      </c>
      <c r="AN54" s="2">
        <f t="shared" si="25"/>
        <v>0.12905740309256514</v>
      </c>
      <c r="AO54" s="2">
        <f t="shared" si="26"/>
        <v>2.6517263291675488</v>
      </c>
      <c r="AP54" s="2">
        <f t="shared" si="27"/>
        <v>5.0413048083033252E-3</v>
      </c>
      <c r="AQ54" s="2">
        <f t="shared" si="28"/>
        <v>0.25609828426180892</v>
      </c>
      <c r="AR54" s="2">
        <f t="shared" si="29"/>
        <v>0.70779919508578693</v>
      </c>
      <c r="AS54" s="2">
        <f t="shared" si="30"/>
        <v>0.4406100402457106</v>
      </c>
      <c r="AT54" s="2">
        <f t="shared" si="31"/>
        <v>0.35389959754289346</v>
      </c>
      <c r="AU54" s="2">
        <f t="shared" si="32"/>
        <v>0.34583350984960809</v>
      </c>
      <c r="AV54" s="2">
        <f t="shared" si="33"/>
        <v>2.108273670832451</v>
      </c>
      <c r="AW54">
        <v>472100</v>
      </c>
      <c r="AX54" s="33">
        <v>4687042000</v>
      </c>
      <c r="AY54" s="33">
        <f t="shared" si="34"/>
        <v>462538000</v>
      </c>
      <c r="AZ54">
        <v>796108000</v>
      </c>
      <c r="BA54">
        <v>67387000</v>
      </c>
      <c r="BB54">
        <v>246684000</v>
      </c>
      <c r="BC54">
        <v>13176000</v>
      </c>
      <c r="BD54">
        <v>14100000</v>
      </c>
      <c r="BE54">
        <v>333570000</v>
      </c>
      <c r="BF54">
        <v>21281000</v>
      </c>
      <c r="BG54">
        <v>10056000</v>
      </c>
      <c r="BH54">
        <v>89494000</v>
      </c>
      <c r="BI54">
        <v>361000</v>
      </c>
      <c r="BJ54">
        <v>3608986000</v>
      </c>
      <c r="BK54">
        <v>27286000</v>
      </c>
      <c r="BL54">
        <v>281948000</v>
      </c>
      <c r="BM54">
        <v>30476000</v>
      </c>
      <c r="BN54" s="1">
        <f t="shared" si="64"/>
        <v>0.16985296910076761</v>
      </c>
      <c r="BO54" s="1">
        <f t="shared" si="78"/>
        <v>1.4377298091205498E-2</v>
      </c>
      <c r="BP54" s="1">
        <f t="shared" si="79"/>
        <v>5.2631062405670781E-2</v>
      </c>
      <c r="BQ54" s="1">
        <f t="shared" si="80"/>
        <v>2.8111546685521487E-3</v>
      </c>
      <c r="BR54" s="1">
        <f t="shared" si="81"/>
        <v>3.0082939303722901E-3</v>
      </c>
      <c r="BS54" s="1">
        <f t="shared" si="82"/>
        <v>7.1168553642147858E-2</v>
      </c>
      <c r="BT54" s="1">
        <f t="shared" si="83"/>
        <v>4.5403902930675677E-3</v>
      </c>
      <c r="BU54" s="1">
        <f t="shared" si="84"/>
        <v>2.1454896286399825E-3</v>
      </c>
      <c r="BV54" s="1">
        <f t="shared" si="85"/>
        <v>1.9093918936506221E-2</v>
      </c>
      <c r="BW54" s="1">
        <f t="shared" si="86"/>
        <v>7.7020858784708986E-5</v>
      </c>
      <c r="BX54" s="1">
        <f t="shared" si="87"/>
        <v>0.76999224670911848</v>
      </c>
      <c r="BY54" s="1">
        <f t="shared" si="88"/>
        <v>5.8215821407190289E-3</v>
      </c>
      <c r="BZ54" s="1">
        <f t="shared" si="89"/>
        <v>6.0154784190113934E-2</v>
      </c>
      <c r="CA54" s="1">
        <f t="shared" si="90"/>
        <v>6.5021819731933272E-3</v>
      </c>
      <c r="CB54" s="2">
        <f t="shared" si="48"/>
        <v>0.80850013291965384</v>
      </c>
      <c r="CC54" s="2">
        <f t="shared" si="49"/>
        <v>6.843593891413817E-2</v>
      </c>
      <c r="CD54" s="2">
        <f t="shared" si="50"/>
        <v>0.25052385705099289</v>
      </c>
      <c r="CE54" s="2">
        <f t="shared" si="51"/>
        <v>1.3381096222308228E-2</v>
      </c>
      <c r="CF54" s="2">
        <f t="shared" si="52"/>
        <v>1.4319479108572101E-2</v>
      </c>
      <c r="CG54" s="2">
        <f t="shared" si="53"/>
        <v>0.33876231533662376</v>
      </c>
      <c r="CH54" s="2">
        <f t="shared" si="54"/>
        <v>2.1612257795001619E-2</v>
      </c>
      <c r="CI54" s="2">
        <f t="shared" si="55"/>
        <v>1.0212530632326315E-2</v>
      </c>
      <c r="CJ54" s="2">
        <f t="shared" si="56"/>
        <v>9.088705413776961E-2</v>
      </c>
      <c r="CK54" s="2">
        <f t="shared" si="57"/>
        <v>3.6661928781521474E-4</v>
      </c>
      <c r="CL54" s="2">
        <f t="shared" si="58"/>
        <v>3.6651630943354037</v>
      </c>
      <c r="CM54" s="2">
        <f t="shared" si="59"/>
        <v>2.7710730989822577E-2</v>
      </c>
      <c r="CN54" s="2">
        <f t="shared" si="60"/>
        <v>0.28633677274494229</v>
      </c>
      <c r="CO54" s="2">
        <f t="shared" si="61"/>
        <v>3.0950386192400238E-2</v>
      </c>
    </row>
    <row r="55" spans="1:93" x14ac:dyDescent="0.25">
      <c r="A55" s="29">
        <v>36</v>
      </c>
      <c r="B55" t="s">
        <v>47</v>
      </c>
      <c r="C55">
        <v>44805</v>
      </c>
      <c r="D55">
        <v>6.8000000000000005E-2</v>
      </c>
      <c r="E55">
        <v>0.23</v>
      </c>
      <c r="F55">
        <v>100</v>
      </c>
      <c r="G55">
        <v>800</v>
      </c>
      <c r="H55">
        <v>3600</v>
      </c>
      <c r="I55">
        <v>4200</v>
      </c>
      <c r="J55">
        <v>5700</v>
      </c>
      <c r="K55">
        <v>7100</v>
      </c>
      <c r="L55">
        <v>21400</v>
      </c>
      <c r="M55">
        <v>100</v>
      </c>
      <c r="N55">
        <v>1100</v>
      </c>
      <c r="O55">
        <v>2700</v>
      </c>
      <c r="P55">
        <v>2500</v>
      </c>
      <c r="Q55">
        <v>4900</v>
      </c>
      <c r="R55">
        <v>12100</v>
      </c>
      <c r="S55">
        <v>23400</v>
      </c>
      <c r="T55">
        <f t="shared" si="62"/>
        <v>44800</v>
      </c>
      <c r="U55" s="1">
        <f t="shared" si="63"/>
        <v>2.232142857142857E-3</v>
      </c>
      <c r="V55" s="1">
        <f t="shared" si="65"/>
        <v>1.7857142857142856E-2</v>
      </c>
      <c r="W55" s="1">
        <f t="shared" si="66"/>
        <v>8.0357142857142863E-2</v>
      </c>
      <c r="X55" s="1">
        <f t="shared" si="67"/>
        <v>9.375E-2</v>
      </c>
      <c r="Y55" s="1">
        <f t="shared" si="68"/>
        <v>0.12723214285714285</v>
      </c>
      <c r="Z55" s="1">
        <f t="shared" si="69"/>
        <v>0.15848214285714285</v>
      </c>
      <c r="AA55" s="1">
        <f t="shared" si="70"/>
        <v>0.47767857142857145</v>
      </c>
      <c r="AB55" s="1">
        <f t="shared" si="71"/>
        <v>2.232142857142857E-3</v>
      </c>
      <c r="AC55" s="1">
        <f t="shared" si="72"/>
        <v>2.4553571428571428E-2</v>
      </c>
      <c r="AD55" s="1">
        <f t="shared" si="73"/>
        <v>6.0267857142857144E-2</v>
      </c>
      <c r="AE55" s="1">
        <f t="shared" si="74"/>
        <v>5.5803571428571432E-2</v>
      </c>
      <c r="AF55" s="1">
        <f t="shared" si="75"/>
        <v>0.109375</v>
      </c>
      <c r="AG55" s="1">
        <f t="shared" si="76"/>
        <v>0.2700892857142857</v>
      </c>
      <c r="AH55" s="1">
        <f t="shared" si="77"/>
        <v>0.5223214285714286</v>
      </c>
      <c r="AI55" s="2">
        <f t="shared" si="20"/>
        <v>5.1339285714285712E-4</v>
      </c>
      <c r="AJ55" s="2">
        <f t="shared" si="21"/>
        <v>4.1071428571428569E-3</v>
      </c>
      <c r="AK55" s="2">
        <f t="shared" si="22"/>
        <v>1.848214285714286E-2</v>
      </c>
      <c r="AL55" s="2">
        <f t="shared" si="23"/>
        <v>2.1562500000000002E-2</v>
      </c>
      <c r="AM55" s="2">
        <f t="shared" si="24"/>
        <v>2.9263392857142856E-2</v>
      </c>
      <c r="AN55" s="2">
        <f t="shared" si="25"/>
        <v>3.6450892857142855E-2</v>
      </c>
      <c r="AO55" s="2">
        <f t="shared" si="26"/>
        <v>0.10986607142857144</v>
      </c>
      <c r="AP55" s="2">
        <f t="shared" si="27"/>
        <v>5.1339285714285712E-4</v>
      </c>
      <c r="AQ55" s="2">
        <f t="shared" si="28"/>
        <v>5.6473214285714286E-3</v>
      </c>
      <c r="AR55" s="2">
        <f t="shared" si="29"/>
        <v>1.3861607142857144E-2</v>
      </c>
      <c r="AS55" s="2">
        <f t="shared" si="30"/>
        <v>1.283482142857143E-2</v>
      </c>
      <c r="AT55" s="2">
        <f t="shared" si="31"/>
        <v>2.5156250000000002E-2</v>
      </c>
      <c r="AU55" s="2">
        <f t="shared" si="32"/>
        <v>6.2120535714285711E-2</v>
      </c>
      <c r="AV55" s="2">
        <f t="shared" si="33"/>
        <v>0.12013392857142859</v>
      </c>
      <c r="AW55">
        <v>44700</v>
      </c>
      <c r="AX55" s="33">
        <v>234028000</v>
      </c>
      <c r="AY55" s="33">
        <f t="shared" si="34"/>
        <v>27068000</v>
      </c>
      <c r="AZ55">
        <v>43380000</v>
      </c>
      <c r="BA55">
        <v>9404000</v>
      </c>
      <c r="BB55">
        <v>4496000</v>
      </c>
      <c r="BC55">
        <v>1142000</v>
      </c>
      <c r="BD55">
        <v>509000</v>
      </c>
      <c r="BE55">
        <v>16312000</v>
      </c>
      <c r="BF55">
        <v>5170000</v>
      </c>
      <c r="BG55">
        <v>2172000</v>
      </c>
      <c r="BH55">
        <v>4086000</v>
      </c>
      <c r="BI55">
        <v>90000</v>
      </c>
      <c r="BJ55">
        <v>177262000</v>
      </c>
      <c r="BK55">
        <v>157549000</v>
      </c>
      <c r="BL55">
        <v>13386000</v>
      </c>
      <c r="BM55">
        <v>11350000</v>
      </c>
      <c r="BN55" s="1">
        <f t="shared" si="64"/>
        <v>0.18536243526415644</v>
      </c>
      <c r="BO55" s="1">
        <f t="shared" si="78"/>
        <v>4.0183225938776559E-2</v>
      </c>
      <c r="BP55" s="1">
        <f t="shared" si="79"/>
        <v>1.9211376416497172E-2</v>
      </c>
      <c r="BQ55" s="1">
        <f t="shared" si="80"/>
        <v>4.879757977677885E-3</v>
      </c>
      <c r="BR55" s="1">
        <f t="shared" si="81"/>
        <v>2.1749534243765702E-3</v>
      </c>
      <c r="BS55" s="1">
        <f t="shared" si="82"/>
        <v>6.9701061411455045E-2</v>
      </c>
      <c r="BT55" s="1">
        <f t="shared" si="83"/>
        <v>2.2091373681781667E-2</v>
      </c>
      <c r="BU55" s="1">
        <f t="shared" si="84"/>
        <v>9.2809407421334204E-3</v>
      </c>
      <c r="BV55" s="1">
        <f t="shared" si="85"/>
        <v>1.7459449296665357E-2</v>
      </c>
      <c r="BW55" s="1">
        <f t="shared" si="86"/>
        <v>3.8456936776795939E-4</v>
      </c>
      <c r="BX55" s="1">
        <f t="shared" si="87"/>
        <v>0.75743928076982237</v>
      </c>
      <c r="BY55" s="1">
        <f t="shared" si="88"/>
        <v>0.67320577024971373</v>
      </c>
      <c r="BZ55" s="1">
        <f t="shared" si="89"/>
        <v>5.7198283966021161E-2</v>
      </c>
      <c r="CA55" s="1">
        <f t="shared" si="90"/>
        <v>4.8498470268514879E-2</v>
      </c>
      <c r="CB55" s="2">
        <f t="shared" si="48"/>
        <v>4.2633360110755983E-2</v>
      </c>
      <c r="CC55" s="2">
        <f t="shared" si="49"/>
        <v>9.2421419659186096E-3</v>
      </c>
      <c r="CD55" s="2">
        <f t="shared" si="50"/>
        <v>4.4186165757943499E-3</v>
      </c>
      <c r="CE55" s="2">
        <f t="shared" si="51"/>
        <v>1.1223443348659136E-3</v>
      </c>
      <c r="CF55" s="2">
        <f t="shared" si="52"/>
        <v>5.0023928760661114E-4</v>
      </c>
      <c r="CG55" s="2">
        <f t="shared" si="53"/>
        <v>1.603124412463466E-2</v>
      </c>
      <c r="CH55" s="2">
        <f t="shared" si="54"/>
        <v>5.0810159468097837E-3</v>
      </c>
      <c r="CI55" s="2">
        <f t="shared" si="55"/>
        <v>2.1346163706906867E-3</v>
      </c>
      <c r="CJ55" s="2">
        <f t="shared" si="56"/>
        <v>4.0156733382330327E-3</v>
      </c>
      <c r="CK55" s="2">
        <f t="shared" si="57"/>
        <v>8.845095458663067E-5</v>
      </c>
      <c r="CL55" s="2">
        <f t="shared" si="58"/>
        <v>0.17421103457705917</v>
      </c>
      <c r="CM55" s="2">
        <f t="shared" si="59"/>
        <v>0.15483732715743417</v>
      </c>
      <c r="CN55" s="2">
        <f t="shared" si="60"/>
        <v>1.3155605312184867E-2</v>
      </c>
      <c r="CO55" s="2">
        <f t="shared" si="61"/>
        <v>1.1154648161758422E-2</v>
      </c>
    </row>
    <row r="56" spans="1:93" x14ac:dyDescent="0.25">
      <c r="A56" s="29">
        <v>52</v>
      </c>
      <c r="B56" t="s">
        <v>48</v>
      </c>
      <c r="C56">
        <v>299918</v>
      </c>
      <c r="D56">
        <v>0.45</v>
      </c>
      <c r="E56">
        <v>0.96</v>
      </c>
      <c r="F56">
        <v>1200</v>
      </c>
      <c r="G56">
        <v>2800</v>
      </c>
      <c r="H56">
        <v>13300</v>
      </c>
      <c r="I56">
        <v>17700</v>
      </c>
      <c r="J56">
        <v>23500</v>
      </c>
      <c r="K56">
        <v>24400</v>
      </c>
      <c r="L56">
        <v>82900</v>
      </c>
      <c r="M56">
        <v>2600</v>
      </c>
      <c r="N56">
        <v>9300</v>
      </c>
      <c r="O56">
        <v>40700</v>
      </c>
      <c r="P56">
        <v>44500</v>
      </c>
      <c r="Q56">
        <v>52900</v>
      </c>
      <c r="R56">
        <v>66800</v>
      </c>
      <c r="S56">
        <v>216900</v>
      </c>
      <c r="T56">
        <f t="shared" si="62"/>
        <v>299800</v>
      </c>
      <c r="U56" s="1">
        <f t="shared" si="63"/>
        <v>4.0026684456304206E-3</v>
      </c>
      <c r="V56" s="1">
        <f t="shared" si="65"/>
        <v>9.3395597064709814E-3</v>
      </c>
      <c r="W56" s="1">
        <f t="shared" si="66"/>
        <v>4.4362908605737161E-2</v>
      </c>
      <c r="X56" s="1">
        <f t="shared" si="67"/>
        <v>5.9039359573048698E-2</v>
      </c>
      <c r="Y56" s="1">
        <f t="shared" si="68"/>
        <v>7.838559039359573E-2</v>
      </c>
      <c r="Z56" s="1">
        <f t="shared" si="69"/>
        <v>8.1387591727818551E-2</v>
      </c>
      <c r="AA56" s="1">
        <f t="shared" si="70"/>
        <v>0.27651767845230152</v>
      </c>
      <c r="AB56" s="1">
        <f t="shared" si="71"/>
        <v>8.6724482988659105E-3</v>
      </c>
      <c r="AC56" s="1">
        <f t="shared" si="72"/>
        <v>3.1020680453635756E-2</v>
      </c>
      <c r="AD56" s="1">
        <f t="shared" si="73"/>
        <v>0.13575717144763175</v>
      </c>
      <c r="AE56" s="1">
        <f t="shared" si="74"/>
        <v>0.14843228819212809</v>
      </c>
      <c r="AF56" s="1">
        <f t="shared" si="75"/>
        <v>0.17645096731154103</v>
      </c>
      <c r="AG56" s="1">
        <f t="shared" si="76"/>
        <v>0.22281521014009339</v>
      </c>
      <c r="AH56" s="1">
        <f t="shared" si="77"/>
        <v>0.72348232154769843</v>
      </c>
      <c r="AI56" s="2">
        <f t="shared" si="20"/>
        <v>3.8425617078052038E-3</v>
      </c>
      <c r="AJ56" s="2">
        <f t="shared" si="21"/>
        <v>8.9659773182121424E-3</v>
      </c>
      <c r="AK56" s="2">
        <f t="shared" si="22"/>
        <v>4.2588392261507672E-2</v>
      </c>
      <c r="AL56" s="2">
        <f t="shared" si="23"/>
        <v>5.6677785190126749E-2</v>
      </c>
      <c r="AM56" s="2">
        <f t="shared" si="24"/>
        <v>7.5250166777851901E-2</v>
      </c>
      <c r="AN56" s="2">
        <f t="shared" si="25"/>
        <v>7.8132088058705806E-2</v>
      </c>
      <c r="AO56" s="2">
        <f t="shared" si="26"/>
        <v>0.26545697131420942</v>
      </c>
      <c r="AP56" s="2">
        <f t="shared" si="27"/>
        <v>8.3255503669112732E-3</v>
      </c>
      <c r="AQ56" s="2">
        <f t="shared" si="28"/>
        <v>2.9779853235490324E-2</v>
      </c>
      <c r="AR56" s="2">
        <f t="shared" si="29"/>
        <v>0.13032688458972647</v>
      </c>
      <c r="AS56" s="2">
        <f t="shared" si="30"/>
        <v>0.14249499666444296</v>
      </c>
      <c r="AT56" s="2">
        <f t="shared" si="31"/>
        <v>0.16939292861907937</v>
      </c>
      <c r="AU56" s="2">
        <f t="shared" si="32"/>
        <v>0.21390260173448966</v>
      </c>
      <c r="AV56" s="2">
        <f t="shared" si="33"/>
        <v>0.69454302868579043</v>
      </c>
      <c r="AW56">
        <v>299800</v>
      </c>
      <c r="AX56" s="33">
        <v>962476000</v>
      </c>
      <c r="AY56" s="33">
        <f t="shared" si="34"/>
        <v>201693000</v>
      </c>
      <c r="AZ56">
        <v>672892000</v>
      </c>
      <c r="BA56">
        <v>57317000</v>
      </c>
      <c r="BB56">
        <v>34084000</v>
      </c>
      <c r="BC56">
        <v>27152000</v>
      </c>
      <c r="BD56">
        <v>9334000</v>
      </c>
      <c r="BE56">
        <v>471199000</v>
      </c>
      <c r="BF56">
        <v>20489000</v>
      </c>
      <c r="BG56">
        <v>25542000</v>
      </c>
      <c r="BH56">
        <v>23264000</v>
      </c>
      <c r="BI56">
        <v>4510000</v>
      </c>
      <c r="BJ56">
        <v>147989000</v>
      </c>
      <c r="BK56">
        <v>115639000</v>
      </c>
      <c r="BL56">
        <v>141595000</v>
      </c>
      <c r="BM56">
        <v>33834000</v>
      </c>
      <c r="BN56" s="1">
        <f t="shared" si="64"/>
        <v>0.69912600418088344</v>
      </c>
      <c r="BO56" s="1">
        <f t="shared" si="78"/>
        <v>5.9551614793511731E-2</v>
      </c>
      <c r="BP56" s="1">
        <f t="shared" si="79"/>
        <v>3.5412831073190397E-2</v>
      </c>
      <c r="BQ56" s="1">
        <f t="shared" si="80"/>
        <v>2.8210573562353763E-2</v>
      </c>
      <c r="BR56" s="1">
        <f t="shared" si="81"/>
        <v>9.6979041555321898E-3</v>
      </c>
      <c r="BS56" s="1">
        <f t="shared" si="82"/>
        <v>0.48956961004741939</v>
      </c>
      <c r="BT56" s="1">
        <f t="shared" si="83"/>
        <v>2.1287803540036322E-2</v>
      </c>
      <c r="BU56" s="1">
        <f t="shared" si="84"/>
        <v>2.6537804579023268E-2</v>
      </c>
      <c r="BV56" s="1">
        <f t="shared" si="85"/>
        <v>2.4170992315652545E-2</v>
      </c>
      <c r="BW56" s="1">
        <f t="shared" si="86"/>
        <v>4.6858311272177178E-3</v>
      </c>
      <c r="BX56" s="1">
        <f t="shared" si="87"/>
        <v>0.15375863917645738</v>
      </c>
      <c r="BY56" s="1">
        <f t="shared" si="88"/>
        <v>0.12014741146792232</v>
      </c>
      <c r="BZ56" s="1">
        <f t="shared" si="89"/>
        <v>0.14711535664265915</v>
      </c>
      <c r="CA56" s="1">
        <f t="shared" si="90"/>
        <v>3.5153084336648398E-2</v>
      </c>
      <c r="CB56" s="2">
        <f t="shared" si="48"/>
        <v>0.67116096401364811</v>
      </c>
      <c r="CC56" s="2">
        <f t="shared" si="49"/>
        <v>5.7169550201771259E-2</v>
      </c>
      <c r="CD56" s="2">
        <f t="shared" si="50"/>
        <v>3.399631783026278E-2</v>
      </c>
      <c r="CE56" s="2">
        <f t="shared" si="51"/>
        <v>2.7082150619859611E-2</v>
      </c>
      <c r="CF56" s="2">
        <f t="shared" si="52"/>
        <v>9.309987989310901E-3</v>
      </c>
      <c r="CG56" s="2">
        <f t="shared" si="53"/>
        <v>0.46998682564552258</v>
      </c>
      <c r="CH56" s="2">
        <f t="shared" si="54"/>
        <v>2.0436291398434867E-2</v>
      </c>
      <c r="CI56" s="2">
        <f t="shared" si="55"/>
        <v>2.5476292395862337E-2</v>
      </c>
      <c r="CJ56" s="2">
        <f t="shared" si="56"/>
        <v>2.3204152623026442E-2</v>
      </c>
      <c r="CK56" s="2">
        <f t="shared" si="57"/>
        <v>4.4983978821290091E-3</v>
      </c>
      <c r="CL56" s="2">
        <f t="shared" si="58"/>
        <v>0.14760829360939909</v>
      </c>
      <c r="CM56" s="2">
        <f t="shared" si="59"/>
        <v>0.11534151500920542</v>
      </c>
      <c r="CN56" s="2">
        <f t="shared" si="60"/>
        <v>0.14123074237695277</v>
      </c>
      <c r="CO56" s="2">
        <f t="shared" si="61"/>
        <v>3.3746960963182464E-2</v>
      </c>
    </row>
    <row r="57" spans="1:93" x14ac:dyDescent="0.25">
      <c r="A57" s="29">
        <v>40</v>
      </c>
      <c r="B57" t="s">
        <v>49</v>
      </c>
      <c r="C57">
        <v>833164</v>
      </c>
      <c r="D57">
        <v>1.3</v>
      </c>
      <c r="E57">
        <v>2.2400000000000002</v>
      </c>
      <c r="F57">
        <v>4200</v>
      </c>
      <c r="G57">
        <v>9000</v>
      </c>
      <c r="H57">
        <v>46800</v>
      </c>
      <c r="I57">
        <v>74500</v>
      </c>
      <c r="J57">
        <v>120500</v>
      </c>
      <c r="K57">
        <v>185500</v>
      </c>
      <c r="L57">
        <v>440600</v>
      </c>
      <c r="M57">
        <v>2900</v>
      </c>
      <c r="N57">
        <v>8900</v>
      </c>
      <c r="O57">
        <v>42400</v>
      </c>
      <c r="P57">
        <v>48600</v>
      </c>
      <c r="Q57">
        <v>74500</v>
      </c>
      <c r="R57">
        <v>223600</v>
      </c>
      <c r="S57">
        <v>400800</v>
      </c>
      <c r="T57">
        <f t="shared" si="62"/>
        <v>841400</v>
      </c>
      <c r="U57" s="1">
        <f t="shared" si="63"/>
        <v>4.9916805324459234E-3</v>
      </c>
      <c r="V57" s="1">
        <f t="shared" si="65"/>
        <v>1.0696458283812693E-2</v>
      </c>
      <c r="W57" s="1">
        <f t="shared" si="66"/>
        <v>5.5621583075826007E-2</v>
      </c>
      <c r="X57" s="1">
        <f t="shared" si="67"/>
        <v>8.8542904682671744E-2</v>
      </c>
      <c r="Y57" s="1">
        <f t="shared" si="68"/>
        <v>0.14321369146660329</v>
      </c>
      <c r="Z57" s="1">
        <f t="shared" si="69"/>
        <v>0.22046589018302828</v>
      </c>
      <c r="AA57" s="1">
        <f t="shared" si="70"/>
        <v>0.52365105776087473</v>
      </c>
      <c r="AB57" s="1">
        <f t="shared" si="71"/>
        <v>3.4466365581174233E-3</v>
      </c>
      <c r="AC57" s="1">
        <f t="shared" si="72"/>
        <v>1.0577608747325886E-2</v>
      </c>
      <c r="AD57" s="1">
        <f t="shared" si="73"/>
        <v>5.0392203470406467E-2</v>
      </c>
      <c r="AE57" s="1">
        <f t="shared" si="74"/>
        <v>5.7760874732588542E-2</v>
      </c>
      <c r="AF57" s="1">
        <f t="shared" si="75"/>
        <v>8.8542904682671744E-2</v>
      </c>
      <c r="AG57" s="1">
        <f t="shared" si="76"/>
        <v>0.26574756358450202</v>
      </c>
      <c r="AH57" s="1">
        <f t="shared" si="77"/>
        <v>0.47634894223912527</v>
      </c>
      <c r="AI57" s="2">
        <f t="shared" si="20"/>
        <v>1.118136439267887E-2</v>
      </c>
      <c r="AJ57" s="2">
        <f t="shared" si="21"/>
        <v>2.3960066555740435E-2</v>
      </c>
      <c r="AK57" s="2">
        <f t="shared" si="22"/>
        <v>0.12459234608985027</v>
      </c>
      <c r="AL57" s="2">
        <f t="shared" si="23"/>
        <v>0.19833610648918473</v>
      </c>
      <c r="AM57" s="2">
        <f t="shared" si="24"/>
        <v>0.32079866888519137</v>
      </c>
      <c r="AN57" s="2">
        <f t="shared" si="25"/>
        <v>0.4938435940099834</v>
      </c>
      <c r="AO57" s="2">
        <f t="shared" si="26"/>
        <v>1.1729783693843594</v>
      </c>
      <c r="AP57" s="2">
        <f t="shared" si="27"/>
        <v>7.720465890183029E-3</v>
      </c>
      <c r="AQ57" s="2">
        <f t="shared" si="28"/>
        <v>2.3693843594009986E-2</v>
      </c>
      <c r="AR57" s="2">
        <f t="shared" si="29"/>
        <v>0.1128785357737105</v>
      </c>
      <c r="AS57" s="2">
        <f t="shared" si="30"/>
        <v>0.12938435940099835</v>
      </c>
      <c r="AT57" s="2">
        <f t="shared" si="31"/>
        <v>0.19833610648918473</v>
      </c>
      <c r="AU57" s="2">
        <f t="shared" si="32"/>
        <v>0.59527454242928457</v>
      </c>
      <c r="AV57" s="2">
        <f t="shared" si="33"/>
        <v>1.0670216306156408</v>
      </c>
      <c r="AW57">
        <v>841400</v>
      </c>
      <c r="AX57" s="33">
        <v>2308179000</v>
      </c>
      <c r="AY57" s="33">
        <f t="shared" si="34"/>
        <v>1184548000</v>
      </c>
      <c r="AZ57">
        <v>1417456000</v>
      </c>
      <c r="BA57">
        <v>118959000</v>
      </c>
      <c r="BB57">
        <v>406942000</v>
      </c>
      <c r="BC57">
        <v>180934000</v>
      </c>
      <c r="BD57">
        <v>75738000</v>
      </c>
      <c r="BE57">
        <v>232908000</v>
      </c>
      <c r="BF57">
        <v>156402000</v>
      </c>
      <c r="BG57">
        <v>26195000</v>
      </c>
      <c r="BH57">
        <v>215773000</v>
      </c>
      <c r="BI57">
        <v>3606000</v>
      </c>
      <c r="BJ57">
        <v>516806000</v>
      </c>
      <c r="BK57">
        <v>107130000</v>
      </c>
      <c r="BL57">
        <v>373917000</v>
      </c>
      <c r="BM57">
        <v>64862000</v>
      </c>
      <c r="BN57" s="1">
        <f t="shared" si="64"/>
        <v>0.61410141934399365</v>
      </c>
      <c r="BO57" s="1">
        <f t="shared" si="78"/>
        <v>5.1538030629340273E-2</v>
      </c>
      <c r="BP57" s="1">
        <f t="shared" si="79"/>
        <v>0.17630435074576106</v>
      </c>
      <c r="BQ57" s="1">
        <f t="shared" si="80"/>
        <v>7.8388201261687246E-2</v>
      </c>
      <c r="BR57" s="1">
        <f t="shared" si="81"/>
        <v>3.2812879763657841E-2</v>
      </c>
      <c r="BS57" s="1">
        <f t="shared" si="82"/>
        <v>0.10090551902603741</v>
      </c>
      <c r="BT57" s="1">
        <f t="shared" si="83"/>
        <v>6.7759909435100144E-2</v>
      </c>
      <c r="BU57" s="1">
        <f t="shared" si="84"/>
        <v>1.1348773210396594E-2</v>
      </c>
      <c r="BV57" s="1">
        <f t="shared" si="85"/>
        <v>9.3481917996827799E-2</v>
      </c>
      <c r="BW57" s="1">
        <f t="shared" si="86"/>
        <v>1.5622705171479336E-3</v>
      </c>
      <c r="BX57" s="1">
        <f t="shared" si="87"/>
        <v>0.22390204572522321</v>
      </c>
      <c r="BY57" s="1">
        <f t="shared" si="88"/>
        <v>4.6413211453704417E-2</v>
      </c>
      <c r="BZ57" s="1">
        <f t="shared" si="89"/>
        <v>0.16199653493078309</v>
      </c>
      <c r="CA57" s="1">
        <f t="shared" si="90"/>
        <v>2.8100940178383046E-2</v>
      </c>
      <c r="CB57" s="2">
        <f t="shared" si="48"/>
        <v>1.3755871793305459</v>
      </c>
      <c r="CC57" s="2">
        <f t="shared" si="49"/>
        <v>0.11544518860972222</v>
      </c>
      <c r="CD57" s="2">
        <f t="shared" si="50"/>
        <v>0.39492174567050481</v>
      </c>
      <c r="CE57" s="2">
        <f t="shared" si="51"/>
        <v>0.17558957082617946</v>
      </c>
      <c r="CF57" s="2">
        <f t="shared" si="52"/>
        <v>7.3500850670593573E-2</v>
      </c>
      <c r="CG57" s="2">
        <f t="shared" si="53"/>
        <v>0.22602836261832382</v>
      </c>
      <c r="CH57" s="2">
        <f t="shared" si="54"/>
        <v>0.15178219713462435</v>
      </c>
      <c r="CI57" s="2">
        <f t="shared" si="55"/>
        <v>2.5421251991288373E-2</v>
      </c>
      <c r="CJ57" s="2">
        <f t="shared" si="56"/>
        <v>0.20939949631289428</v>
      </c>
      <c r="CK57" s="2">
        <f t="shared" si="57"/>
        <v>3.4994859584113716E-3</v>
      </c>
      <c r="CL57" s="2">
        <f t="shared" si="58"/>
        <v>0.50154058242450006</v>
      </c>
      <c r="CM57" s="2">
        <f t="shared" si="59"/>
        <v>0.1039655936562979</v>
      </c>
      <c r="CN57" s="2">
        <f t="shared" si="60"/>
        <v>0.36287223824495413</v>
      </c>
      <c r="CO57" s="2">
        <f t="shared" si="61"/>
        <v>6.2946105999578034E-2</v>
      </c>
    </row>
    <row r="58" spans="1:93" x14ac:dyDescent="0.25">
      <c r="A58" s="29">
        <v>32</v>
      </c>
      <c r="B58" t="s">
        <v>50</v>
      </c>
      <c r="C58">
        <v>461016</v>
      </c>
      <c r="D58">
        <v>0.7</v>
      </c>
      <c r="E58">
        <v>1.28</v>
      </c>
      <c r="F58">
        <v>1400</v>
      </c>
      <c r="G58">
        <v>3600</v>
      </c>
      <c r="H58">
        <v>17800</v>
      </c>
      <c r="I58">
        <v>30200</v>
      </c>
      <c r="J58">
        <v>63400</v>
      </c>
      <c r="K58">
        <v>127200</v>
      </c>
      <c r="L58">
        <v>243700</v>
      </c>
      <c r="M58">
        <v>1100</v>
      </c>
      <c r="N58">
        <v>2800</v>
      </c>
      <c r="O58">
        <v>10500</v>
      </c>
      <c r="P58">
        <v>16500</v>
      </c>
      <c r="Q58">
        <v>38500</v>
      </c>
      <c r="R58">
        <v>145200</v>
      </c>
      <c r="S58">
        <v>214600</v>
      </c>
      <c r="T58">
        <f t="shared" si="62"/>
        <v>458300</v>
      </c>
      <c r="U58" s="1">
        <f t="shared" si="63"/>
        <v>3.0547676194632336E-3</v>
      </c>
      <c r="V58" s="1">
        <f t="shared" si="65"/>
        <v>7.8551167357626007E-3</v>
      </c>
      <c r="W58" s="1">
        <f t="shared" si="66"/>
        <v>3.8839188304603971E-2</v>
      </c>
      <c r="X58" s="1">
        <f t="shared" si="67"/>
        <v>6.5895701505564036E-2</v>
      </c>
      <c r="Y58" s="1">
        <f t="shared" si="68"/>
        <v>0.13833733362426359</v>
      </c>
      <c r="Z58" s="1">
        <f t="shared" si="69"/>
        <v>0.27754745799694525</v>
      </c>
      <c r="AA58" s="1">
        <f t="shared" si="70"/>
        <v>0.53174776347370722</v>
      </c>
      <c r="AB58" s="1">
        <f t="shared" si="71"/>
        <v>2.4001745581496837E-3</v>
      </c>
      <c r="AC58" s="1">
        <f t="shared" si="72"/>
        <v>6.1095352389264673E-3</v>
      </c>
      <c r="AD58" s="1">
        <f t="shared" si="73"/>
        <v>2.2910757145974254E-2</v>
      </c>
      <c r="AE58" s="1">
        <f t="shared" si="74"/>
        <v>3.6002618372245256E-2</v>
      </c>
      <c r="AF58" s="1">
        <f t="shared" si="75"/>
        <v>8.4006109535238932E-2</v>
      </c>
      <c r="AG58" s="1">
        <f t="shared" si="76"/>
        <v>0.31682304167575825</v>
      </c>
      <c r="AH58" s="1">
        <f t="shared" si="77"/>
        <v>0.46825223652629283</v>
      </c>
      <c r="AI58" s="2">
        <f t="shared" si="20"/>
        <v>3.9101025529129389E-3</v>
      </c>
      <c r="AJ58" s="2">
        <f t="shared" si="21"/>
        <v>1.0054549421776129E-2</v>
      </c>
      <c r="AK58" s="2">
        <f t="shared" si="22"/>
        <v>4.9714161029893081E-2</v>
      </c>
      <c r="AL58" s="2">
        <f t="shared" si="23"/>
        <v>8.4346497927121969E-2</v>
      </c>
      <c r="AM58" s="2">
        <f t="shared" si="24"/>
        <v>0.1770717870390574</v>
      </c>
      <c r="AN58" s="2">
        <f t="shared" si="25"/>
        <v>0.35526074623608994</v>
      </c>
      <c r="AO58" s="2">
        <f t="shared" si="26"/>
        <v>0.68063713724634523</v>
      </c>
      <c r="AP58" s="2">
        <f t="shared" si="27"/>
        <v>3.0722234344315951E-3</v>
      </c>
      <c r="AQ58" s="2">
        <f t="shared" si="28"/>
        <v>7.8202051058258778E-3</v>
      </c>
      <c r="AR58" s="2">
        <f t="shared" si="29"/>
        <v>2.9325769146847046E-2</v>
      </c>
      <c r="AS58" s="2">
        <f t="shared" si="30"/>
        <v>4.6083351516473928E-2</v>
      </c>
      <c r="AT58" s="2">
        <f t="shared" si="31"/>
        <v>0.10752782020510583</v>
      </c>
      <c r="AU58" s="2">
        <f t="shared" si="32"/>
        <v>0.40553349334497057</v>
      </c>
      <c r="AV58" s="2">
        <f t="shared" si="33"/>
        <v>0.5993628627536548</v>
      </c>
      <c r="AW58">
        <v>458300</v>
      </c>
      <c r="AX58" s="33">
        <v>1316244000</v>
      </c>
      <c r="AY58" s="33">
        <f t="shared" si="34"/>
        <v>196507000</v>
      </c>
      <c r="AZ58">
        <v>255768000</v>
      </c>
      <c r="BA58">
        <v>63591000</v>
      </c>
      <c r="BB58">
        <v>38317000</v>
      </c>
      <c r="BC58">
        <v>12701000</v>
      </c>
      <c r="BD58">
        <v>7409000</v>
      </c>
      <c r="BE58">
        <v>59261000</v>
      </c>
      <c r="BF58">
        <v>26931000</v>
      </c>
      <c r="BG58">
        <v>25862000</v>
      </c>
      <c r="BH58">
        <v>20362000</v>
      </c>
      <c r="BI58">
        <v>1335000</v>
      </c>
      <c r="BJ58">
        <v>1004758000</v>
      </c>
      <c r="BK58">
        <v>897399000</v>
      </c>
      <c r="BL58">
        <v>55719000</v>
      </c>
      <c r="BM58">
        <v>16201000</v>
      </c>
      <c r="BN58" s="1">
        <f t="shared" si="64"/>
        <v>0.19431655528914091</v>
      </c>
      <c r="BO58" s="1">
        <f t="shared" si="78"/>
        <v>4.8312470940038474E-2</v>
      </c>
      <c r="BP58" s="1">
        <f t="shared" si="79"/>
        <v>2.9110863943159475E-2</v>
      </c>
      <c r="BQ58" s="1">
        <f t="shared" si="80"/>
        <v>9.6494267020400468E-3</v>
      </c>
      <c r="BR58" s="1">
        <f t="shared" si="81"/>
        <v>5.6288955543197161E-3</v>
      </c>
      <c r="BS58" s="1">
        <f t="shared" si="82"/>
        <v>4.502280732143888E-2</v>
      </c>
      <c r="BT58" s="1">
        <f t="shared" si="83"/>
        <v>2.0460492127599442E-2</v>
      </c>
      <c r="BU58" s="1">
        <f t="shared" si="84"/>
        <v>1.9648332679959035E-2</v>
      </c>
      <c r="BV58" s="1">
        <f t="shared" si="85"/>
        <v>1.5469776120536922E-2</v>
      </c>
      <c r="BW58" s="1">
        <f t="shared" si="86"/>
        <v>1.0142496376051857E-3</v>
      </c>
      <c r="BX58" s="1">
        <f t="shared" si="87"/>
        <v>0.76335238755124435</v>
      </c>
      <c r="BY58" s="1">
        <f t="shared" si="88"/>
        <v>0.68178772324888093</v>
      </c>
      <c r="BZ58" s="1">
        <f t="shared" si="89"/>
        <v>4.233181689717104E-2</v>
      </c>
      <c r="CA58" s="1">
        <f t="shared" si="90"/>
        <v>1.2308508148945029E-2</v>
      </c>
      <c r="CB58" s="2">
        <f t="shared" si="48"/>
        <v>0.24872519077010036</v>
      </c>
      <c r="CC58" s="2">
        <f t="shared" si="49"/>
        <v>6.183996280324925E-2</v>
      </c>
      <c r="CD58" s="2">
        <f t="shared" si="50"/>
        <v>3.7261905847244127E-2</v>
      </c>
      <c r="CE58" s="2">
        <f t="shared" si="51"/>
        <v>1.2351266178611261E-2</v>
      </c>
      <c r="CF58" s="2">
        <f t="shared" si="52"/>
        <v>7.2049863095292365E-3</v>
      </c>
      <c r="CG58" s="2">
        <f t="shared" si="53"/>
        <v>5.7629193371441768E-2</v>
      </c>
      <c r="CH58" s="2">
        <f t="shared" si="54"/>
        <v>2.6189429923327286E-2</v>
      </c>
      <c r="CI58" s="2">
        <f t="shared" si="55"/>
        <v>2.5149865830347565E-2</v>
      </c>
      <c r="CJ58" s="2">
        <f t="shared" si="56"/>
        <v>1.980131343428726E-2</v>
      </c>
      <c r="CK58" s="2">
        <f t="shared" si="57"/>
        <v>1.2982395361346378E-3</v>
      </c>
      <c r="CL58" s="2">
        <f t="shared" si="58"/>
        <v>0.97709105606559277</v>
      </c>
      <c r="CM58" s="2">
        <f t="shared" si="59"/>
        <v>0.87268828575856761</v>
      </c>
      <c r="CN58" s="2">
        <f t="shared" si="60"/>
        <v>5.4184725628378935E-2</v>
      </c>
      <c r="CO58" s="2">
        <f t="shared" si="61"/>
        <v>1.5754890430649638E-2</v>
      </c>
    </row>
    <row r="59" spans="1:93" x14ac:dyDescent="0.25">
      <c r="B59" s="27" t="s">
        <v>239</v>
      </c>
      <c r="C59" s="27"/>
      <c r="D59" s="27"/>
      <c r="E59" s="27">
        <f>SUM(E3:E58)</f>
        <v>151.16000000000003</v>
      </c>
      <c r="AW59">
        <f t="shared" ref="AW59" si="91">SUM(AW3:AW58)</f>
        <v>56583800</v>
      </c>
      <c r="AX59">
        <f t="shared" ref="AX59" si="92">SUM(AX3:AX58)</f>
        <v>148445808000</v>
      </c>
      <c r="AY59">
        <f t="shared" ref="AY59" si="93">SUM(AY3:AY58)</f>
        <v>34703245000</v>
      </c>
      <c r="AZ59">
        <f t="shared" ref="AZ59:BE59" si="94">SUM(AZ3:AZ58)</f>
        <v>56288927000</v>
      </c>
      <c r="BA59">
        <f t="shared" si="94"/>
        <v>9294237000</v>
      </c>
      <c r="BB59">
        <f t="shared" si="94"/>
        <v>7612812000</v>
      </c>
      <c r="BC59">
        <f t="shared" si="94"/>
        <v>2830434000</v>
      </c>
      <c r="BD59">
        <f t="shared" si="94"/>
        <v>2193161000</v>
      </c>
      <c r="BE59">
        <f t="shared" si="94"/>
        <v>21585682000</v>
      </c>
      <c r="BF59">
        <f>SUM(BF3:BF58)</f>
        <v>6216633000</v>
      </c>
      <c r="BG59">
        <f t="shared" ref="BG59:BM59" si="95">SUM(BG3:BG58)</f>
        <v>2060971000</v>
      </c>
      <c r="BH59">
        <f t="shared" si="95"/>
        <v>4265664000</v>
      </c>
      <c r="BI59">
        <f t="shared" si="95"/>
        <v>229338000</v>
      </c>
      <c r="BJ59">
        <f t="shared" si="95"/>
        <v>71769526000</v>
      </c>
      <c r="BK59">
        <f t="shared" si="95"/>
        <v>49756983000</v>
      </c>
      <c r="BL59">
        <f t="shared" si="95"/>
        <v>20387356000</v>
      </c>
      <c r="BM59">
        <f t="shared" si="95"/>
        <v>8893982000</v>
      </c>
    </row>
    <row r="60" spans="1:93" x14ac:dyDescent="0.25">
      <c r="B60" s="27" t="s">
        <v>238</v>
      </c>
      <c r="C60" s="27"/>
      <c r="D60" s="27"/>
      <c r="E60" s="28">
        <v>166.97</v>
      </c>
    </row>
    <row r="61" spans="1:93" x14ac:dyDescent="0.25">
      <c r="B61" t="s">
        <v>240</v>
      </c>
      <c r="E61">
        <f>E60-E59</f>
        <v>15.809999999999974</v>
      </c>
      <c r="F61">
        <v>8.8046920000000001E-2</v>
      </c>
      <c r="G61">
        <v>0.11840572000000001</v>
      </c>
      <c r="H61">
        <v>0.12286560000000001</v>
      </c>
      <c r="I61">
        <v>6.1176540000000001E-2</v>
      </c>
      <c r="J61">
        <v>5.1568999999999997E-2</v>
      </c>
      <c r="K61">
        <v>4.1564009999999998E-2</v>
      </c>
      <c r="L61">
        <f>SUM(F61:K61)</f>
        <v>0.48362779</v>
      </c>
      <c r="M61">
        <v>8.3904069999999997E-2</v>
      </c>
      <c r="N61">
        <v>0.11656010999999999</v>
      </c>
      <c r="O61">
        <v>0.12845698</v>
      </c>
      <c r="P61">
        <v>6.547907E-2</v>
      </c>
      <c r="Q61">
        <v>5.9722829999999998E-2</v>
      </c>
      <c r="R61">
        <v>6.2249150000000003E-2</v>
      </c>
      <c r="S61">
        <f>SUM(M61:R61)</f>
        <v>0.51637221</v>
      </c>
      <c r="T61">
        <f>S61+L61</f>
        <v>1</v>
      </c>
    </row>
    <row r="62" spans="1:93" x14ac:dyDescent="0.25">
      <c r="B62" s="56" t="s">
        <v>241</v>
      </c>
    </row>
    <row r="63" spans="1:93" x14ac:dyDescent="0.25">
      <c r="B63" s="56" t="s">
        <v>242</v>
      </c>
    </row>
  </sheetData>
  <sortState xmlns:xlrd2="http://schemas.microsoft.com/office/spreadsheetml/2017/richdata2" ref="C3:E63">
    <sortCondition ref="C2:C63"/>
  </sortState>
  <mergeCells count="3">
    <mergeCell ref="C1:E1"/>
    <mergeCell ref="F1:AH1"/>
    <mergeCell ref="AW1:CA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767BD-2DDE-4B8A-93A0-11DF1F663CEA}">
  <dimension ref="A1:E68"/>
  <sheetViews>
    <sheetView workbookViewId="0">
      <selection sqref="A1:D1"/>
    </sheetView>
  </sheetViews>
  <sheetFormatPr defaultRowHeight="15" x14ac:dyDescent="0.25"/>
  <cols>
    <col min="1" max="4" width="32.140625" customWidth="1"/>
  </cols>
  <sheetData>
    <row r="1" spans="1:5" ht="33" customHeight="1" thickBot="1" x14ac:dyDescent="0.3">
      <c r="A1" s="43" t="s">
        <v>237</v>
      </c>
      <c r="B1" s="43"/>
      <c r="C1" s="43"/>
      <c r="D1" s="43"/>
    </row>
    <row r="2" spans="1:5" ht="26.25" customHeight="1" x14ac:dyDescent="0.25">
      <c r="A2" s="53" t="s">
        <v>144</v>
      </c>
      <c r="B2" s="53" t="s">
        <v>145</v>
      </c>
      <c r="C2" s="53" t="s">
        <v>146</v>
      </c>
      <c r="D2" s="53" t="s">
        <v>147</v>
      </c>
      <c r="E2" s="9"/>
    </row>
    <row r="3" spans="1:5" ht="15.75" thickBot="1" x14ac:dyDescent="0.3">
      <c r="A3" s="54"/>
      <c r="B3" s="54"/>
      <c r="C3" s="54"/>
      <c r="D3" s="54"/>
      <c r="E3" s="9"/>
    </row>
    <row r="4" spans="1:5" ht="15.75" thickBot="1" x14ac:dyDescent="0.3">
      <c r="A4" s="13" t="s">
        <v>5</v>
      </c>
      <c r="B4" s="14" t="s">
        <v>148</v>
      </c>
      <c r="C4" s="14"/>
      <c r="D4" s="50"/>
      <c r="E4" s="9"/>
    </row>
    <row r="5" spans="1:5" ht="15.75" thickBot="1" x14ac:dyDescent="0.3">
      <c r="A5" s="15" t="s">
        <v>12</v>
      </c>
      <c r="B5" s="24" t="s">
        <v>149</v>
      </c>
      <c r="C5" s="24" t="s">
        <v>149</v>
      </c>
      <c r="D5" s="51"/>
      <c r="E5" s="9"/>
    </row>
    <row r="6" spans="1:5" ht="15.75" thickBot="1" x14ac:dyDescent="0.3">
      <c r="A6" s="15" t="s">
        <v>150</v>
      </c>
      <c r="B6" s="14" t="s">
        <v>151</v>
      </c>
      <c r="C6" s="14"/>
      <c r="D6" s="51"/>
      <c r="E6" s="9"/>
    </row>
    <row r="7" spans="1:5" ht="15.75" thickBot="1" x14ac:dyDescent="0.3">
      <c r="A7" s="13" t="s">
        <v>49</v>
      </c>
      <c r="B7" s="14" t="s">
        <v>152</v>
      </c>
      <c r="C7" s="14" t="s">
        <v>153</v>
      </c>
      <c r="D7" s="51"/>
      <c r="E7" s="9"/>
    </row>
    <row r="8" spans="1:5" ht="15.75" thickBot="1" x14ac:dyDescent="0.3">
      <c r="A8" s="15" t="s">
        <v>6</v>
      </c>
      <c r="B8" s="14" t="s">
        <v>154</v>
      </c>
      <c r="C8" s="14"/>
      <c r="D8" s="51"/>
      <c r="E8" s="9"/>
    </row>
    <row r="9" spans="1:5" ht="15.75" thickBot="1" x14ac:dyDescent="0.3">
      <c r="A9" s="13" t="s">
        <v>14</v>
      </c>
      <c r="B9" s="14" t="s">
        <v>154</v>
      </c>
      <c r="C9" s="14" t="s">
        <v>155</v>
      </c>
      <c r="D9" s="51"/>
      <c r="E9" s="9"/>
    </row>
    <row r="10" spans="1:5" ht="15.75" thickBot="1" x14ac:dyDescent="0.3">
      <c r="A10" s="13" t="s">
        <v>44</v>
      </c>
      <c r="B10" s="14" t="s">
        <v>156</v>
      </c>
      <c r="C10" s="14" t="s">
        <v>157</v>
      </c>
      <c r="D10" s="51"/>
      <c r="E10" s="9"/>
    </row>
    <row r="11" spans="1:5" ht="57" customHeight="1" thickBot="1" x14ac:dyDescent="0.3">
      <c r="A11" s="13" t="s">
        <v>26</v>
      </c>
      <c r="B11" s="24" t="s">
        <v>158</v>
      </c>
      <c r="C11" s="24" t="s">
        <v>158</v>
      </c>
      <c r="D11" s="51"/>
      <c r="E11" s="9"/>
    </row>
    <row r="12" spans="1:5" ht="15.75" thickBot="1" x14ac:dyDescent="0.3">
      <c r="A12" s="13" t="s">
        <v>50</v>
      </c>
      <c r="B12" s="24" t="s">
        <v>159</v>
      </c>
      <c r="C12" s="24" t="s">
        <v>159</v>
      </c>
      <c r="D12" s="51"/>
      <c r="E12" s="9"/>
    </row>
    <row r="13" spans="1:5" ht="15.75" thickBot="1" x14ac:dyDescent="0.3">
      <c r="A13" s="15" t="s">
        <v>47</v>
      </c>
      <c r="B13" s="14" t="s">
        <v>160</v>
      </c>
      <c r="C13" s="14"/>
      <c r="D13" s="51"/>
      <c r="E13" s="9"/>
    </row>
    <row r="14" spans="1:5" ht="34.5" thickBot="1" x14ac:dyDescent="0.3">
      <c r="A14" s="13" t="s">
        <v>37</v>
      </c>
      <c r="B14" s="16" t="s">
        <v>161</v>
      </c>
      <c r="C14" s="16" t="s">
        <v>161</v>
      </c>
      <c r="D14" s="52"/>
      <c r="E14" s="9"/>
    </row>
    <row r="15" spans="1:5" ht="409.6" thickBot="1" x14ac:dyDescent="0.3">
      <c r="A15" s="13" t="s">
        <v>162</v>
      </c>
      <c r="B15" s="14"/>
      <c r="C15" s="14"/>
      <c r="D15" s="16" t="s">
        <v>163</v>
      </c>
      <c r="E15" s="9"/>
    </row>
    <row r="16" spans="1:5" ht="23.25" thickBot="1" x14ac:dyDescent="0.3">
      <c r="A16" s="13" t="s">
        <v>164</v>
      </c>
      <c r="B16" s="14"/>
      <c r="C16" s="14"/>
      <c r="D16" s="16" t="s">
        <v>165</v>
      </c>
      <c r="E16" s="9"/>
    </row>
    <row r="17" spans="1:5" ht="34.5" thickBot="1" x14ac:dyDescent="0.3">
      <c r="A17" s="13" t="s">
        <v>17</v>
      </c>
      <c r="B17" s="16" t="s">
        <v>166</v>
      </c>
      <c r="C17" s="14" t="s">
        <v>167</v>
      </c>
      <c r="D17" s="16" t="s">
        <v>168</v>
      </c>
      <c r="E17" s="9"/>
    </row>
    <row r="18" spans="1:5" ht="45.75" customHeight="1" thickBot="1" x14ac:dyDescent="0.3">
      <c r="A18" s="13" t="s">
        <v>2</v>
      </c>
      <c r="B18" s="20" t="s">
        <v>169</v>
      </c>
      <c r="C18" s="20" t="s">
        <v>169</v>
      </c>
      <c r="D18" s="50"/>
      <c r="E18" s="9"/>
    </row>
    <row r="19" spans="1:5" ht="15.75" thickBot="1" x14ac:dyDescent="0.3">
      <c r="A19" s="13" t="s">
        <v>20</v>
      </c>
      <c r="B19" s="20" t="s">
        <v>169</v>
      </c>
      <c r="C19" s="20" t="s">
        <v>169</v>
      </c>
      <c r="D19" s="51"/>
      <c r="E19" s="9"/>
    </row>
    <row r="20" spans="1:5" ht="34.5" customHeight="1" thickBot="1" x14ac:dyDescent="0.3">
      <c r="A20" s="13" t="s">
        <v>1</v>
      </c>
      <c r="B20" s="18" t="s">
        <v>170</v>
      </c>
      <c r="C20" s="18" t="s">
        <v>171</v>
      </c>
      <c r="D20" s="51"/>
      <c r="E20" s="9"/>
    </row>
    <row r="21" spans="1:5" ht="15.75" thickBot="1" x14ac:dyDescent="0.3">
      <c r="A21" s="15" t="s">
        <v>19</v>
      </c>
      <c r="B21" s="18" t="s">
        <v>170</v>
      </c>
      <c r="C21" s="18" t="s">
        <v>171</v>
      </c>
      <c r="D21" s="51"/>
      <c r="E21" s="9"/>
    </row>
    <row r="22" spans="1:5" ht="15.75" thickBot="1" x14ac:dyDescent="0.3">
      <c r="A22" s="15" t="s">
        <v>3</v>
      </c>
      <c r="B22" s="18" t="s">
        <v>172</v>
      </c>
      <c r="C22" s="18" t="s">
        <v>173</v>
      </c>
      <c r="D22" s="51"/>
      <c r="E22" s="9"/>
    </row>
    <row r="23" spans="1:5" ht="15.75" thickBot="1" x14ac:dyDescent="0.3">
      <c r="A23" s="15" t="s">
        <v>22</v>
      </c>
      <c r="B23" s="18" t="s">
        <v>172</v>
      </c>
      <c r="C23" s="18" t="s">
        <v>173</v>
      </c>
      <c r="D23" s="52"/>
      <c r="E23" s="9"/>
    </row>
    <row r="24" spans="1:5" ht="68.25" thickBot="1" x14ac:dyDescent="0.3">
      <c r="A24" s="15" t="s">
        <v>4</v>
      </c>
      <c r="B24" s="18" t="s">
        <v>174</v>
      </c>
      <c r="C24" s="18" t="s">
        <v>175</v>
      </c>
      <c r="D24" s="16" t="s">
        <v>176</v>
      </c>
      <c r="E24" s="9"/>
    </row>
    <row r="25" spans="1:5" ht="15.75" thickBot="1" x14ac:dyDescent="0.3">
      <c r="A25" s="15" t="s">
        <v>24</v>
      </c>
      <c r="B25" s="18" t="s">
        <v>174</v>
      </c>
      <c r="C25" s="18" t="s">
        <v>175</v>
      </c>
      <c r="D25" s="16"/>
      <c r="E25" s="9"/>
    </row>
    <row r="26" spans="1:5" ht="186.75" customHeight="1" thickBot="1" x14ac:dyDescent="0.3">
      <c r="A26" s="15" t="s">
        <v>36</v>
      </c>
      <c r="B26" s="19" t="s">
        <v>177</v>
      </c>
      <c r="C26" s="19" t="s">
        <v>178</v>
      </c>
      <c r="D26" s="16"/>
      <c r="E26" s="9"/>
    </row>
    <row r="27" spans="1:5" ht="45.75" thickBot="1" x14ac:dyDescent="0.3">
      <c r="A27" s="15" t="s">
        <v>23</v>
      </c>
      <c r="B27" s="19" t="s">
        <v>177</v>
      </c>
      <c r="C27" s="19" t="s">
        <v>178</v>
      </c>
      <c r="D27" s="16"/>
      <c r="E27" s="9"/>
    </row>
    <row r="28" spans="1:5" ht="23.25" thickBot="1" x14ac:dyDescent="0.3">
      <c r="A28" s="13" t="s">
        <v>46</v>
      </c>
      <c r="B28" s="24" t="s">
        <v>179</v>
      </c>
      <c r="C28" s="24" t="s">
        <v>179</v>
      </c>
      <c r="D28" s="16" t="s">
        <v>180</v>
      </c>
      <c r="E28" s="9"/>
    </row>
    <row r="29" spans="1:5" ht="23.25" thickBot="1" x14ac:dyDescent="0.3">
      <c r="A29" s="13" t="s">
        <v>35</v>
      </c>
      <c r="B29" s="24" t="s">
        <v>181</v>
      </c>
      <c r="C29" s="24" t="s">
        <v>181</v>
      </c>
      <c r="D29" s="16" t="s">
        <v>182</v>
      </c>
      <c r="E29" s="9"/>
    </row>
    <row r="30" spans="1:5" ht="15.75" thickBot="1" x14ac:dyDescent="0.3">
      <c r="A30" s="13" t="s">
        <v>32</v>
      </c>
      <c r="B30" s="24" t="s">
        <v>183</v>
      </c>
      <c r="C30" s="24" t="s">
        <v>183</v>
      </c>
      <c r="D30" s="16"/>
      <c r="E30" s="9"/>
    </row>
    <row r="31" spans="1:5" ht="15.75" thickBot="1" x14ac:dyDescent="0.3">
      <c r="A31" s="13" t="s">
        <v>7</v>
      </c>
      <c r="B31" s="24" t="s">
        <v>184</v>
      </c>
      <c r="C31" s="24" t="s">
        <v>184</v>
      </c>
      <c r="D31" s="16"/>
      <c r="E31" s="9"/>
    </row>
    <row r="32" spans="1:5" ht="23.25" thickBot="1" x14ac:dyDescent="0.3">
      <c r="A32" s="13" t="s">
        <v>45</v>
      </c>
      <c r="B32" s="24" t="s">
        <v>185</v>
      </c>
      <c r="C32" s="24" t="s">
        <v>185</v>
      </c>
      <c r="D32" s="16"/>
      <c r="E32" s="9"/>
    </row>
    <row r="33" spans="1:5" ht="23.25" thickBot="1" x14ac:dyDescent="0.3">
      <c r="A33" s="13" t="s">
        <v>41</v>
      </c>
      <c r="B33" s="16" t="s">
        <v>186</v>
      </c>
      <c r="C33" s="14"/>
      <c r="D33" s="16"/>
      <c r="E33" s="9"/>
    </row>
    <row r="34" spans="1:5" ht="23.25" thickBot="1" x14ac:dyDescent="0.3">
      <c r="A34" s="13" t="s">
        <v>187</v>
      </c>
      <c r="B34" s="14"/>
      <c r="C34" s="14"/>
      <c r="D34" s="16" t="s">
        <v>182</v>
      </c>
      <c r="E34" s="9"/>
    </row>
    <row r="35" spans="1:5" ht="23.25" thickBot="1" x14ac:dyDescent="0.3">
      <c r="A35" s="13" t="s">
        <v>188</v>
      </c>
      <c r="B35" s="14"/>
      <c r="C35" s="14"/>
      <c r="D35" s="16" t="s">
        <v>180</v>
      </c>
      <c r="E35" s="9"/>
    </row>
    <row r="36" spans="1:5" ht="57" thickBot="1" x14ac:dyDescent="0.3">
      <c r="A36" s="13" t="s">
        <v>189</v>
      </c>
      <c r="B36" s="14"/>
      <c r="C36" s="14"/>
      <c r="D36" s="16" t="s">
        <v>190</v>
      </c>
      <c r="E36" s="9"/>
    </row>
    <row r="37" spans="1:5" ht="45.75" thickBot="1" x14ac:dyDescent="0.3">
      <c r="A37" s="13" t="s">
        <v>191</v>
      </c>
      <c r="B37" s="14"/>
      <c r="C37" s="14"/>
      <c r="D37" s="16" t="s">
        <v>192</v>
      </c>
      <c r="E37" s="9"/>
    </row>
    <row r="38" spans="1:5" ht="15.75" thickBot="1" x14ac:dyDescent="0.3">
      <c r="A38" s="13" t="s">
        <v>16</v>
      </c>
      <c r="B38" s="14" t="s">
        <v>193</v>
      </c>
      <c r="C38" s="14" t="s">
        <v>193</v>
      </c>
      <c r="D38" s="16" t="s">
        <v>194</v>
      </c>
      <c r="E38" s="9"/>
    </row>
    <row r="39" spans="1:5" ht="102" thickBot="1" x14ac:dyDescent="0.3">
      <c r="A39" s="13" t="s">
        <v>43</v>
      </c>
      <c r="B39" s="14"/>
      <c r="C39" s="14"/>
      <c r="D39" s="16" t="s">
        <v>195</v>
      </c>
      <c r="E39" s="9"/>
    </row>
    <row r="40" spans="1:5" ht="102" customHeight="1" thickBot="1" x14ac:dyDescent="0.3">
      <c r="A40" s="13" t="s">
        <v>33</v>
      </c>
      <c r="B40" s="24" t="s">
        <v>196</v>
      </c>
      <c r="C40" s="24" t="s">
        <v>196</v>
      </c>
      <c r="D40" s="16" t="s">
        <v>197</v>
      </c>
      <c r="E40" s="9"/>
    </row>
    <row r="41" spans="1:5" ht="15.75" thickBot="1" x14ac:dyDescent="0.3">
      <c r="A41" s="13" t="s">
        <v>42</v>
      </c>
      <c r="B41" s="46" t="s">
        <v>198</v>
      </c>
      <c r="C41" s="48"/>
      <c r="D41" s="16"/>
      <c r="E41" s="9"/>
    </row>
    <row r="42" spans="1:5" ht="15.75" thickBot="1" x14ac:dyDescent="0.3">
      <c r="A42" s="13" t="s">
        <v>34</v>
      </c>
      <c r="B42" s="46" t="s">
        <v>199</v>
      </c>
      <c r="C42" s="48"/>
      <c r="D42" s="16"/>
      <c r="E42" s="9"/>
    </row>
    <row r="43" spans="1:5" ht="15.75" thickBot="1" x14ac:dyDescent="0.3">
      <c r="A43" s="13" t="s">
        <v>18</v>
      </c>
      <c r="B43" s="46" t="s">
        <v>200</v>
      </c>
      <c r="C43" s="48"/>
      <c r="D43" s="16"/>
      <c r="E43" s="9"/>
    </row>
    <row r="44" spans="1:5" ht="34.5" thickBot="1" x14ac:dyDescent="0.3">
      <c r="A44" s="13" t="s">
        <v>201</v>
      </c>
      <c r="B44" s="14"/>
      <c r="C44" s="16" t="s">
        <v>202</v>
      </c>
      <c r="D44" s="16"/>
      <c r="E44" s="9"/>
    </row>
    <row r="45" spans="1:5" ht="23.25" thickBot="1" x14ac:dyDescent="0.3">
      <c r="A45" s="13" t="s">
        <v>203</v>
      </c>
      <c r="B45" s="16" t="s">
        <v>204</v>
      </c>
      <c r="C45" s="14" t="s">
        <v>205</v>
      </c>
      <c r="D45" s="16" t="s">
        <v>206</v>
      </c>
      <c r="E45" s="9"/>
    </row>
    <row r="46" spans="1:5" ht="34.5" customHeight="1" thickBot="1" x14ac:dyDescent="0.3">
      <c r="A46" s="13" t="s">
        <v>29</v>
      </c>
      <c r="B46" s="24" t="s">
        <v>207</v>
      </c>
      <c r="C46" s="24" t="s">
        <v>207</v>
      </c>
      <c r="D46" s="16"/>
      <c r="E46" s="9"/>
    </row>
    <row r="47" spans="1:5" ht="15.75" thickBot="1" x14ac:dyDescent="0.3">
      <c r="A47" s="13" t="s">
        <v>48</v>
      </c>
      <c r="B47" s="24" t="s">
        <v>208</v>
      </c>
      <c r="C47" s="24" t="s">
        <v>208</v>
      </c>
      <c r="D47" s="16"/>
      <c r="E47" s="9"/>
    </row>
    <row r="48" spans="1:5" ht="45.75" customHeight="1" thickBot="1" x14ac:dyDescent="0.3">
      <c r="A48" s="13" t="s">
        <v>8</v>
      </c>
      <c r="B48" s="24" t="s">
        <v>209</v>
      </c>
      <c r="C48" s="24" t="s">
        <v>209</v>
      </c>
      <c r="D48" s="16"/>
      <c r="E48" s="9"/>
    </row>
    <row r="49" spans="1:5" ht="15.75" thickBot="1" x14ac:dyDescent="0.3">
      <c r="A49" s="13" t="s">
        <v>38</v>
      </c>
      <c r="B49" s="24" t="s">
        <v>210</v>
      </c>
      <c r="C49" s="24" t="s">
        <v>210</v>
      </c>
      <c r="D49" s="16"/>
      <c r="E49" s="9"/>
    </row>
    <row r="50" spans="1:5" ht="79.5" thickBot="1" x14ac:dyDescent="0.3">
      <c r="A50" s="13" t="s">
        <v>211</v>
      </c>
      <c r="B50" s="16" t="s">
        <v>212</v>
      </c>
      <c r="C50" s="16" t="s">
        <v>213</v>
      </c>
      <c r="D50" s="16"/>
      <c r="E50" s="9"/>
    </row>
    <row r="51" spans="1:5" ht="23.25" customHeight="1" thickBot="1" x14ac:dyDescent="0.3">
      <c r="A51" s="13" t="s">
        <v>15</v>
      </c>
      <c r="B51" s="24" t="s">
        <v>214</v>
      </c>
      <c r="C51" s="24" t="s">
        <v>214</v>
      </c>
      <c r="D51" s="16"/>
      <c r="E51" s="9"/>
    </row>
    <row r="52" spans="1:5" ht="15.75" thickBot="1" x14ac:dyDescent="0.3">
      <c r="A52" s="13" t="s">
        <v>27</v>
      </c>
      <c r="B52" s="14" t="s">
        <v>215</v>
      </c>
      <c r="C52" s="14" t="s">
        <v>216</v>
      </c>
      <c r="D52" s="16"/>
      <c r="E52" s="9"/>
    </row>
    <row r="53" spans="1:5" ht="409.6" customHeight="1" thickBot="1" x14ac:dyDescent="0.3">
      <c r="A53" s="13" t="s">
        <v>25</v>
      </c>
      <c r="B53" s="24" t="s">
        <v>217</v>
      </c>
      <c r="C53" s="24" t="s">
        <v>217</v>
      </c>
      <c r="D53" s="16" t="s">
        <v>218</v>
      </c>
      <c r="E53" s="9"/>
    </row>
    <row r="54" spans="1:5" ht="15.75" thickBot="1" x14ac:dyDescent="0.3">
      <c r="A54" s="13" t="s">
        <v>13</v>
      </c>
      <c r="B54" s="20" t="s">
        <v>219</v>
      </c>
      <c r="C54" s="25"/>
      <c r="D54" s="21"/>
      <c r="E54" s="9"/>
    </row>
    <row r="55" spans="1:5" ht="23.25" customHeight="1" thickBot="1" x14ac:dyDescent="0.3">
      <c r="A55" s="13" t="s">
        <v>30</v>
      </c>
      <c r="B55" s="22" t="s">
        <v>219</v>
      </c>
      <c r="C55" s="26"/>
      <c r="D55" s="23"/>
      <c r="E55" s="9"/>
    </row>
    <row r="56" spans="1:5" ht="23.25" thickBot="1" x14ac:dyDescent="0.3">
      <c r="A56" s="13" t="s">
        <v>21</v>
      </c>
      <c r="B56" s="14" t="s">
        <v>220</v>
      </c>
      <c r="C56" s="14" t="s">
        <v>221</v>
      </c>
      <c r="D56" s="16" t="s">
        <v>222</v>
      </c>
      <c r="E56" s="9"/>
    </row>
    <row r="57" spans="1:5" ht="405.75" customHeight="1" thickBot="1" x14ac:dyDescent="0.3">
      <c r="A57" s="13" t="s">
        <v>223</v>
      </c>
      <c r="B57" s="24" t="s">
        <v>224</v>
      </c>
      <c r="C57" s="24" t="s">
        <v>224</v>
      </c>
      <c r="D57" s="16" t="s">
        <v>225</v>
      </c>
      <c r="E57" s="9"/>
    </row>
    <row r="58" spans="1:5" ht="15.75" thickBot="1" x14ac:dyDescent="0.3">
      <c r="A58" s="13" t="s">
        <v>226</v>
      </c>
      <c r="B58" s="14"/>
      <c r="C58" s="16" t="s">
        <v>227</v>
      </c>
      <c r="D58" s="16"/>
      <c r="E58" s="9"/>
    </row>
    <row r="59" spans="1:5" ht="15.75" thickBot="1" x14ac:dyDescent="0.3">
      <c r="A59" s="13" t="s">
        <v>31</v>
      </c>
      <c r="B59" s="46" t="s">
        <v>219</v>
      </c>
      <c r="C59" s="47"/>
      <c r="D59" s="48"/>
      <c r="E59" s="9"/>
    </row>
    <row r="60" spans="1:5" ht="270.75" thickBot="1" x14ac:dyDescent="0.3">
      <c r="A60" s="13" t="s">
        <v>228</v>
      </c>
      <c r="B60" s="46"/>
      <c r="C60" s="48"/>
      <c r="D60" s="16" t="s">
        <v>229</v>
      </c>
      <c r="E60" s="9"/>
    </row>
    <row r="61" spans="1:5" ht="38.25" customHeight="1" x14ac:dyDescent="0.25">
      <c r="A61" s="49" t="s">
        <v>230</v>
      </c>
      <c r="B61" s="49"/>
      <c r="C61" s="49"/>
      <c r="D61" s="49"/>
      <c r="E61" s="55"/>
    </row>
    <row r="62" spans="1:5" ht="63.75" customHeight="1" x14ac:dyDescent="0.25">
      <c r="A62" s="44" t="s">
        <v>231</v>
      </c>
      <c r="B62" s="44"/>
      <c r="C62" s="44"/>
      <c r="D62" s="44"/>
      <c r="E62" s="55"/>
    </row>
    <row r="63" spans="1:5" ht="28.5" customHeight="1" x14ac:dyDescent="0.25">
      <c r="A63" s="45" t="s">
        <v>232</v>
      </c>
      <c r="B63" s="45"/>
      <c r="C63" s="45"/>
      <c r="D63" s="45"/>
      <c r="E63" s="55"/>
    </row>
    <row r="64" spans="1:5" ht="41.25" customHeight="1" x14ac:dyDescent="0.25">
      <c r="A64" s="45" t="s">
        <v>233</v>
      </c>
      <c r="B64" s="45"/>
      <c r="C64" s="45"/>
      <c r="D64" s="45"/>
      <c r="E64" s="55"/>
    </row>
    <row r="65" spans="1:5" ht="28.5" customHeight="1" x14ac:dyDescent="0.25">
      <c r="A65" s="45" t="s">
        <v>234</v>
      </c>
      <c r="B65" s="45"/>
      <c r="C65" s="45"/>
      <c r="D65" s="45"/>
      <c r="E65" s="55"/>
    </row>
    <row r="66" spans="1:5" ht="15.75" customHeight="1" x14ac:dyDescent="0.25">
      <c r="A66" s="45" t="s">
        <v>235</v>
      </c>
      <c r="B66" s="45"/>
      <c r="C66" s="45"/>
      <c r="D66" s="45"/>
      <c r="E66" s="55"/>
    </row>
    <row r="67" spans="1:5" ht="89.25" customHeight="1" x14ac:dyDescent="0.25">
      <c r="A67" s="44" t="s">
        <v>236</v>
      </c>
      <c r="B67" s="44"/>
      <c r="C67" s="44"/>
      <c r="D67" s="44"/>
      <c r="E67" s="55"/>
    </row>
    <row r="68" spans="1:5" x14ac:dyDescent="0.25">
      <c r="A68" s="17"/>
    </row>
  </sheetData>
  <mergeCells count="20">
    <mergeCell ref="D4:D14"/>
    <mergeCell ref="E61:E67"/>
    <mergeCell ref="A66:D66"/>
    <mergeCell ref="A67:D67"/>
    <mergeCell ref="A1:D1"/>
    <mergeCell ref="A62:D62"/>
    <mergeCell ref="A63:D63"/>
    <mergeCell ref="A64:D64"/>
    <mergeCell ref="A65:D65"/>
    <mergeCell ref="B59:D59"/>
    <mergeCell ref="B60:C60"/>
    <mergeCell ref="A61:D61"/>
    <mergeCell ref="B43:C43"/>
    <mergeCell ref="B41:C41"/>
    <mergeCell ref="B42:C42"/>
    <mergeCell ref="D18:D23"/>
    <mergeCell ref="A2:A3"/>
    <mergeCell ref="B2:B3"/>
    <mergeCell ref="C2:C3"/>
    <mergeCell ref="D2:D3"/>
  </mergeCells>
  <phoneticPr fontId="1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32415-603D-4D4B-98F6-BA1D6CED509E}">
  <dimension ref="A2:A17"/>
  <sheetViews>
    <sheetView workbookViewId="0">
      <selection activeCell="A22" sqref="A22"/>
    </sheetView>
  </sheetViews>
  <sheetFormatPr defaultRowHeight="15" x14ac:dyDescent="0.25"/>
  <cols>
    <col min="1" max="1" width="44.140625" customWidth="1"/>
  </cols>
  <sheetData>
    <row r="2" spans="1:1" x14ac:dyDescent="0.25">
      <c r="A2" t="s">
        <v>76</v>
      </c>
    </row>
    <row r="3" spans="1:1" x14ac:dyDescent="0.25">
      <c r="A3" t="s">
        <v>77</v>
      </c>
    </row>
    <row r="4" spans="1:1" x14ac:dyDescent="0.25">
      <c r="A4" t="s">
        <v>78</v>
      </c>
    </row>
    <row r="5" spans="1:1" x14ac:dyDescent="0.25">
      <c r="A5" t="s">
        <v>79</v>
      </c>
    </row>
    <row r="6" spans="1:1" x14ac:dyDescent="0.25">
      <c r="A6" t="s">
        <v>80</v>
      </c>
    </row>
    <row r="7" spans="1:1" x14ac:dyDescent="0.25">
      <c r="A7" t="s">
        <v>81</v>
      </c>
    </row>
    <row r="8" spans="1:1" x14ac:dyDescent="0.25">
      <c r="A8" t="s">
        <v>82</v>
      </c>
    </row>
    <row r="9" spans="1:1" x14ac:dyDescent="0.25">
      <c r="A9" t="s">
        <v>83</v>
      </c>
    </row>
    <row r="10" spans="1:1" x14ac:dyDescent="0.25">
      <c r="A10" t="s">
        <v>84</v>
      </c>
    </row>
    <row r="11" spans="1:1" x14ac:dyDescent="0.25">
      <c r="A11" t="s">
        <v>85</v>
      </c>
    </row>
    <row r="12" spans="1:1" x14ac:dyDescent="0.25">
      <c r="A12" t="s">
        <v>86</v>
      </c>
    </row>
    <row r="13" spans="1:1" x14ac:dyDescent="0.25">
      <c r="A13" t="s">
        <v>87</v>
      </c>
    </row>
    <row r="14" spans="1:1" x14ac:dyDescent="0.25">
      <c r="A14" t="s">
        <v>88</v>
      </c>
    </row>
    <row r="15" spans="1:1" x14ac:dyDescent="0.25">
      <c r="A15" t="s">
        <v>89</v>
      </c>
    </row>
    <row r="16" spans="1:1" x14ac:dyDescent="0.25">
      <c r="A16" t="s">
        <v>90</v>
      </c>
    </row>
    <row r="17" spans="1:1" x14ac:dyDescent="0.25">
      <c r="A17"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PAID</vt:lpstr>
      <vt:lpstr>Полуфабрикат</vt:lpstr>
      <vt:lpstr>Final</vt:lpstr>
      <vt:lpstr>diag</vt:lpstr>
      <vt:lpstr>sector</vt:lpstr>
      <vt:lpstr>diag!_Toc92795621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Elena Milkovska</cp:lastModifiedBy>
  <dcterms:created xsi:type="dcterms:W3CDTF">2025-11-05T22:21:42Z</dcterms:created>
  <dcterms:modified xsi:type="dcterms:W3CDTF">2026-04-17T08:24:21Z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772ba27-cab8-4042-a351-a31f6e4eacdc_Enabled">
    <vt:lpwstr>true</vt:lpwstr>
  </property>
  <property fmtid="{D5CDD505-2E9C-101B-9397-08002B2CF9AE}" pid="3" name="MSIP_Label_8772ba27-cab8-4042-a351-a31f6e4eacdc_SetDate">
    <vt:lpwstr>2026-04-15T11:41:15Z</vt:lpwstr>
  </property>
  <property fmtid="{D5CDD505-2E9C-101B-9397-08002B2CF9AE}" pid="4" name="MSIP_Label_8772ba27-cab8-4042-a351-a31f6e4eacdc_Method">
    <vt:lpwstr>Standard</vt:lpwstr>
  </property>
  <property fmtid="{D5CDD505-2E9C-101B-9397-08002B2CF9AE}" pid="5" name="MSIP_Label_8772ba27-cab8-4042-a351-a31f6e4eacdc_Name">
    <vt:lpwstr>Internal</vt:lpwstr>
  </property>
  <property fmtid="{D5CDD505-2E9C-101B-9397-08002B2CF9AE}" pid="6" name="MSIP_Label_8772ba27-cab8-4042-a351-a31f6e4eacdc_SiteId">
    <vt:lpwstr>715902d6-f63e-4b8d-929b-4bb170bad492</vt:lpwstr>
  </property>
  <property fmtid="{D5CDD505-2E9C-101B-9397-08002B2CF9AE}" pid="7" name="MSIP_Label_8772ba27-cab8-4042-a351-a31f6e4eacdc_ActionId">
    <vt:lpwstr>38ef024b-c234-43b7-a481-013116d01e71</vt:lpwstr>
  </property>
  <property fmtid="{D5CDD505-2E9C-101B-9397-08002B2CF9AE}" pid="8" name="MSIP_Label_8772ba27-cab8-4042-a351-a31f6e4eacdc_ContentBits">
    <vt:lpwstr>0</vt:lpwstr>
  </property>
  <property fmtid="{D5CDD505-2E9C-101B-9397-08002B2CF9AE}" pid="9" name="MSIP_Label_8772ba27-cab8-4042-a351-a31f6e4eacdc_Tag">
    <vt:lpwstr>10, 3, 0, 1</vt:lpwstr>
  </property>
</Properties>
</file>